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0.읽어주세요" sheetId="1" state="visible" r:id="rId1"/>
    <sheet xmlns:r="http://schemas.openxmlformats.org/officeDocument/2006/relationships" name="1.요청표" sheetId="2" state="visible" r:id="rId2"/>
    <sheet xmlns:r="http://schemas.openxmlformats.org/officeDocument/2006/relationships" name="취합현황" sheetId="3" state="visible" r:id="rId3"/>
    <sheet xmlns:r="http://schemas.openxmlformats.org/officeDocument/2006/relationships" name="원단위계산" sheetId="4" state="visible" r:id="rId4"/>
    <sheet xmlns:r="http://schemas.openxmlformats.org/officeDocument/2006/relationships" name="장문자료 검토" sheetId="5" state="visible" r:id="rId5"/>
    <sheet xmlns:r="http://schemas.openxmlformats.org/officeDocument/2006/relationships" name="서식1 세출예산" sheetId="6" state="visible" r:id="rId6"/>
    <sheet xmlns:r="http://schemas.openxmlformats.org/officeDocument/2006/relationships" name="서식2 수용인원" sheetId="7" state="visible" r:id="rId7"/>
    <sheet xmlns:r="http://schemas.openxmlformats.org/officeDocument/2006/relationships" name="서식2-기관별(회신)" sheetId="8" state="visible" r:id="rId8"/>
    <sheet xmlns:r="http://schemas.openxmlformats.org/officeDocument/2006/relationships" name="서식3 마약류사범" sheetId="9" state="visible" r:id="rId9"/>
    <sheet xmlns:r="http://schemas.openxmlformats.org/officeDocument/2006/relationships" name="서식4 재활교육 실적" sheetId="10" state="visible" r:id="rId10"/>
    <sheet xmlns:r="http://schemas.openxmlformats.org/officeDocument/2006/relationships" name="서식5 전담인력" sheetId="11" state="visible" r:id="rId11"/>
    <sheet xmlns:r="http://schemas.openxmlformats.org/officeDocument/2006/relationships" name="서식6 재활예산" sheetId="12" state="visible" r:id="rId12"/>
    <sheet xmlns:r="http://schemas.openxmlformats.org/officeDocument/2006/relationships" name="서식7 의료·검사" sheetId="13" state="visible" r:id="rId13"/>
    <sheet xmlns:r="http://schemas.openxmlformats.org/officeDocument/2006/relationships" name="서식8 출소·재복역" sheetId="14" state="visible" r:id="rId14"/>
    <sheet xmlns:r="http://schemas.openxmlformats.org/officeDocument/2006/relationships" name="서식9 이수별 재복역" sheetId="15" state="visible" r:id="rId15"/>
    <sheet xmlns:r="http://schemas.openxmlformats.org/officeDocument/2006/relationships" name="서식10 인적특성" sheetId="16" state="visible" r:id="rId16"/>
    <sheet xmlns:r="http://schemas.openxmlformats.org/officeDocument/2006/relationships" name="서식11 산출기준" sheetId="17" state="visible" r:id="rId17"/>
    <sheet xmlns:r="http://schemas.openxmlformats.org/officeDocument/2006/relationships" name="별도요청 타기관" sheetId="18" state="visible" r:id="rId18"/>
    <sheet xmlns:r="http://schemas.openxmlformats.org/officeDocument/2006/relationships" name="KEY 설명" sheetId="19" state="visible" r:id="rId19"/>
    <sheet xmlns:r="http://schemas.openxmlformats.org/officeDocument/2006/relationships" name="구조_안내" sheetId="20" state="visible" r:id="rId20"/>
    <sheet xmlns:r="http://schemas.openxmlformats.org/officeDocument/2006/relationships" name="구조_칸" sheetId="21" state="visible" r:id="rId21"/>
    <sheet xmlns:r="http://schemas.openxmlformats.org/officeDocument/2006/relationships" name="구조_변수" sheetId="22" state="visible" r:id="rId22"/>
    <sheet xmlns:r="http://schemas.openxmlformats.org/officeDocument/2006/relationships" name="구조_집계" sheetId="23" state="visible" r:id="rId23"/>
    <sheet xmlns:r="http://schemas.openxmlformats.org/officeDocument/2006/relationships" name="구조_스위치" sheetId="24" state="visible" r:id="rId24"/>
    <sheet xmlns:r="http://schemas.openxmlformats.org/officeDocument/2006/relationships" name="구조_중복규칙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00"/>
    <numFmt numFmtId="166" formatCode="0.0"/>
    <numFmt numFmtId="167" formatCode="#,##0;\(#,##0\)"/>
    <numFmt numFmtId="168" formatCode="#,##0.0"/>
    <numFmt numFmtId="169" formatCode="#,##0;\(#,##0\);\-"/>
  </numFmts>
  <fonts count="9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3864"/>
      <sz val="20"/>
    </font>
    <font>
      <name val="맑은 고딕"/>
      <charset val="129"/>
      <family val="3"/>
      <b val="1"/>
      <color rgb="FF000000"/>
      <sz val="10.5"/>
    </font>
    <font>
      <name val="맑은 고딕"/>
      <charset val="129"/>
      <family val="3"/>
      <color rgb="FF000000"/>
      <sz val="10"/>
    </font>
    <font>
      <name val="Noto Sans CJK SC"/>
      <charset val="1"/>
      <family val="2"/>
      <b val="1"/>
      <color rgb="FF1F3864"/>
      <sz val="10.5"/>
    </font>
    <font>
      <name val="Noto Sans CJK SC"/>
      <charset val="1"/>
      <family val="2"/>
      <b val="1"/>
      <color rgb="FF000000"/>
      <sz val="10.5"/>
    </font>
    <font>
      <name val="Noto Sans CJK SC"/>
      <family val="2"/>
      <color rgb="FF000000"/>
      <sz val="10"/>
    </font>
    <font>
      <name val="Noto Sans CJK SC"/>
      <charset val="1"/>
      <family val="2"/>
      <color rgb="FF000000"/>
      <sz val="10"/>
    </font>
    <font>
      <name val="Noto Sans CJK SC"/>
      <charset val="1"/>
      <family val="2"/>
      <b val="1"/>
      <color rgb="FF1F3864"/>
      <sz val="15"/>
    </font>
    <font>
      <name val="Noto Sans CJK SC"/>
      <charset val="1"/>
      <family val="2"/>
      <color rgb="FF595959"/>
      <sz val="9.5"/>
    </font>
    <font>
      <name val="Noto Sans CJK SC"/>
      <charset val="1"/>
      <family val="2"/>
      <b val="1"/>
      <color rgb="FFFFFFFF"/>
      <sz val="9.5"/>
    </font>
    <font>
      <name val="맑은 고딕"/>
      <charset val="129"/>
      <family val="3"/>
      <color rgb="FF000000"/>
      <sz val="9.5"/>
    </font>
    <font>
      <name val="Noto Sans CJK SC"/>
      <charset val="1"/>
      <family val="2"/>
      <color rgb="FF000000"/>
      <sz val="9.5"/>
    </font>
    <font>
      <name val="Noto Sans CJK SC"/>
      <family val="2"/>
      <b val="1"/>
      <color rgb="FF9C5700"/>
      <sz val="9"/>
    </font>
    <font>
      <name val="맑은 고딕"/>
      <charset val="1"/>
      <family val="0"/>
      <b val="1"/>
      <color rgb="FF9C5700"/>
      <sz val="9"/>
    </font>
    <font>
      <name val="맑은 고딕"/>
      <charset val="129"/>
      <family val="3"/>
      <b val="1"/>
      <color rgb="FF1F3864"/>
      <sz val="9"/>
    </font>
    <font>
      <name val="Noto Sans CJK SC"/>
      <family val="2"/>
      <b val="1"/>
      <color rgb="FFC00000"/>
      <sz val="9"/>
    </font>
    <font>
      <name val="맑은 고딕"/>
      <charset val="1"/>
      <family val="0"/>
      <b val="1"/>
      <color rgb="FFC00000"/>
      <sz val="9"/>
    </font>
    <font>
      <name val="맑은 고딕"/>
      <charset val="129"/>
      <family val="3"/>
      <b val="1"/>
      <color rgb="FFC00000"/>
      <sz val="9.5"/>
    </font>
    <font>
      <name val="Noto Sans CJK SC"/>
      <charset val="1"/>
      <family val="2"/>
      <b val="1"/>
      <color rgb="FFC00000"/>
      <sz val="9.5"/>
    </font>
    <font>
      <name val="Noto Sans CJK SC"/>
      <charset val="1"/>
      <family val="2"/>
      <b val="1"/>
      <color rgb="FF000000"/>
      <sz val="9.5"/>
    </font>
    <font>
      <name val="Noto Sans CJK SC"/>
      <family val="2"/>
      <b val="1"/>
      <color rgb="FF00632E"/>
      <sz val="9"/>
    </font>
    <font>
      <name val="맑은 고딕"/>
      <charset val="129"/>
      <family val="3"/>
      <color rgb="FF595959"/>
      <sz val="9.5"/>
    </font>
    <font>
      <name val="Noto Sans CJK SC"/>
      <family val="2"/>
      <color rgb="FF595959"/>
      <sz val="9.5"/>
    </font>
    <font>
      <name val="Noto Sans CJK SC"/>
      <family val="2"/>
      <b val="1"/>
      <sz val="13"/>
    </font>
    <font>
      <name val="맑은 고딕"/>
      <charset val="1"/>
      <family val="0"/>
      <b val="1"/>
      <sz val="13"/>
    </font>
    <font>
      <name val="Noto Sans CJK SC"/>
      <family val="2"/>
      <color rgb="FF595959"/>
      <sz val="9"/>
    </font>
    <font>
      <name val="맑은 고딕"/>
      <charset val="1"/>
      <family val="0"/>
      <color rgb="FF595959"/>
      <sz val="9"/>
    </font>
    <font>
      <name val="Noto Sans CJK SC"/>
      <family val="2"/>
      <b val="1"/>
      <color rgb="FFFFFFFF"/>
      <sz val="9"/>
    </font>
    <font>
      <name val="맑은 고딕"/>
      <charset val="1"/>
      <family val="0"/>
      <b val="1"/>
      <color rgb="FFFFFFFF"/>
      <sz val="9"/>
    </font>
    <font>
      <name val="맑은 고딕"/>
      <charset val="1"/>
      <family val="0"/>
      <sz val="9"/>
    </font>
    <font>
      <name val="Noto Sans CJK SC"/>
      <family val="2"/>
      <sz val="9"/>
    </font>
    <font>
      <name val="Noto Sans CJK SC"/>
      <family val="2"/>
      <b val="1"/>
      <sz val="9"/>
    </font>
    <font>
      <name val="맑은 고딕"/>
      <charset val="1"/>
      <family val="0"/>
      <b val="1"/>
      <sz val="10"/>
    </font>
    <font>
      <name val="Noto Sans CJK SC"/>
      <family val="2"/>
      <b val="1"/>
      <sz val="10"/>
    </font>
    <font>
      <name val="맑은 고딕"/>
      <charset val="1"/>
      <family val="0"/>
      <color rgb="FF7F7F7F"/>
      <sz val="9"/>
    </font>
    <font>
      <name val="Calibri"/>
      <charset val="1"/>
      <family val="0"/>
      <color rgb="FF008000"/>
      <sz val="11"/>
    </font>
    <font>
      <name val="Noto Sans CJK SC"/>
      <family val="2"/>
      <color rgb="FF595959"/>
      <sz val="8"/>
    </font>
    <font>
      <name val="맑은 고딕"/>
      <charset val="1"/>
      <family val="0"/>
      <color rgb="FF595959"/>
      <sz val="8"/>
    </font>
    <font>
      <name val="Calibri"/>
      <charset val="1"/>
      <family val="0"/>
      <color rgb="FF0000FF"/>
      <sz val="11"/>
    </font>
    <font>
      <name val="Calibri"/>
      <charset val="1"/>
      <family val="0"/>
      <color rgb="FF000000"/>
      <sz val="11"/>
    </font>
    <font>
      <name val="맑은 고딕"/>
      <charset val="1"/>
      <family val="0"/>
      <b val="1"/>
      <sz val="9"/>
    </font>
    <font>
      <name val="Calibri"/>
      <charset val="1"/>
      <family val="0"/>
      <b val="1"/>
      <color rgb="FF000000"/>
      <sz val="11"/>
    </font>
    <font>
      <name val="Calibri"/>
      <charset val="1"/>
      <family val="0"/>
      <sz val="11"/>
    </font>
    <font>
      <name val="Calibri"/>
      <charset val="1"/>
      <family val="0"/>
      <b val="1"/>
      <sz val="11"/>
    </font>
    <font>
      <name val="Noto Sans CJK SC"/>
      <family val="2"/>
      <color rgb="FF7F7F7F"/>
      <sz val="9"/>
    </font>
    <font>
      <name val="Noto Sans CJK SC"/>
      <charset val="1"/>
      <family val="2"/>
      <b val="1"/>
      <color rgb="FF595959"/>
      <sz val="9"/>
    </font>
    <font>
      <name val="Noto Sans CJK SC"/>
      <charset val="1"/>
      <family val="2"/>
      <b val="1"/>
      <color rgb="FFC00000"/>
      <sz val="9"/>
    </font>
    <font>
      <name val="Noto Sans CJK SC"/>
      <charset val="1"/>
      <family val="2"/>
      <color rgb="FFC00000"/>
      <sz val="9.5"/>
    </font>
    <font>
      <name val="맑은 고딕"/>
      <charset val="129"/>
      <family val="3"/>
      <b val="1"/>
      <color rgb="FFFFFFFF"/>
      <sz val="9.5"/>
    </font>
    <font>
      <name val="Noto Sans CJK SC"/>
      <family val="2"/>
      <b val="1"/>
      <color rgb="FFFFFFFF"/>
      <sz val="9.5"/>
    </font>
    <font>
      <name val="맑은 고딕"/>
      <charset val="129"/>
      <family val="3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family val="2"/>
      <color rgb="FF0000FF"/>
      <sz val="9"/>
    </font>
    <font>
      <name val="맑은 고딕"/>
      <charset val="1"/>
      <family val="0"/>
      <color rgb="FF0000FF"/>
      <sz val="9"/>
    </font>
    <font>
      <name val="Noto Sans CJK SC"/>
      <family val="2"/>
      <b val="1"/>
      <color rgb="FF1F3864"/>
      <sz val="9"/>
    </font>
    <font>
      <name val="Noto Sans CJK SC"/>
      <family val="2"/>
      <color rgb="FFC00000"/>
      <sz val="9"/>
    </font>
    <font>
      <name val="Noto Sans CJK SC"/>
      <charset val="1"/>
      <family val="2"/>
      <i val="1"/>
      <color rgb="FF7F6000"/>
      <sz val="9"/>
    </font>
    <font>
      <name val="Noto Sans CJK SC"/>
      <charset val="1"/>
      <family val="2"/>
      <b val="1"/>
      <color rgb="FF000000"/>
      <sz val="10"/>
    </font>
    <font>
      <name val="맑은 고딕"/>
      <charset val="129"/>
      <family val="3"/>
      <color rgb="FFC00000"/>
      <sz val="9.5"/>
    </font>
    <font>
      <name val="Noto Sans CJK SC"/>
      <family val="2"/>
      <color rgb="FFC00000"/>
      <sz val="9.5"/>
    </font>
    <font>
      <name val="Noto Sans CJK SC"/>
      <family val="2"/>
      <color rgb="FF000000"/>
      <sz val="9.5"/>
    </font>
    <font>
      <name val="맑은 고딕"/>
      <charset val="1"/>
      <family val="0"/>
      <color rgb="FFC00000"/>
      <sz val="9"/>
    </font>
    <font>
      <name val="맑은 고딕"/>
      <charset val="129"/>
      <family val="3"/>
      <b val="1"/>
      <color rgb="FF1F3864"/>
      <sz val="11"/>
    </font>
    <font>
      <name val="Noto Sans CJK SC"/>
      <family val="2"/>
      <b val="1"/>
      <color rgb="FF1F3864"/>
      <sz val="11"/>
    </font>
    <font>
      <name val="Noto Sans CJK SC"/>
      <family val="2"/>
      <b val="1"/>
      <sz val="12"/>
    </font>
    <font>
      <name val="맑은 고딕"/>
      <charset val="1"/>
      <family val="0"/>
      <b val="1"/>
      <sz val="12"/>
    </font>
    <font>
      <name val="Noto Sans CJK SC"/>
      <family val="2"/>
      <color rgb="FF000000"/>
      <sz val="9"/>
    </font>
    <font>
      <name val="Noto Sans CJK SC"/>
      <charset val="1"/>
      <family val="2"/>
      <b val="1"/>
      <color rgb="FFC00000"/>
      <sz val="10"/>
    </font>
    <font>
      <name val="맑은 고딕"/>
      <charset val="129"/>
      <family val="3"/>
      <b val="1"/>
      <color rgb="FF1F3864"/>
      <sz val="9.5"/>
    </font>
    <font>
      <name val="Noto Sans CJK SC"/>
      <charset val="1"/>
      <family val="2"/>
      <b val="1"/>
      <color rgb="FF1F3864"/>
      <sz val="13"/>
    </font>
    <font>
      <name val="Noto Sans CJK SC"/>
      <family val="2"/>
      <b val="1"/>
      <color rgb="FF000000"/>
      <sz val="10.5"/>
    </font>
    <font>
      <name val="Arial"/>
      <b val="1"/>
      <color rgb="00000000"/>
      <sz val="14"/>
    </font>
    <font>
      <name val="Arial"/>
      <color rgb="004A5566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FF"/>
      <sz val="10"/>
    </font>
    <font>
      <name val="Arial"/>
      <b val="1"/>
      <color rgb="00008000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color rgb="000000FF"/>
      <sz val="10"/>
    </font>
    <font>
      <name val="Arial"/>
      <i val="1"/>
      <color rgb="004A5566"/>
      <sz val="10"/>
    </font>
    <font>
      <name val="Arial"/>
      <b val="1"/>
      <color rgb="00000000"/>
      <sz val="12"/>
    </font>
    <font>
      <name val="Arial"/>
      <color rgb="FF0000FF"/>
      <sz val="10"/>
    </font>
    <font>
      <name val="Arial"/>
      <b val="1"/>
      <color rgb="FF0000FF"/>
      <sz val="10"/>
    </font>
    <font>
      <name val="맑은 고딕"/>
      <b val="1"/>
      <sz val="9"/>
    </font>
    <font>
      <name val="맑은 고딕"/>
      <b val="1"/>
      <sz val="13"/>
    </font>
    <font>
      <name val="맑은 고딕"/>
      <color rgb="FF595959"/>
      <sz val="9"/>
    </font>
    <font>
      <name val="맑은 고딕"/>
      <b val="1"/>
      <color rgb="FFFFFFFF"/>
      <sz val="9"/>
    </font>
    <font>
      <name val="맑은 고딕"/>
      <sz val="9"/>
    </font>
  </fonts>
  <fills count="23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DEDED"/>
        <bgColor rgb="FFE2EFDA"/>
      </patternFill>
    </fill>
    <fill>
      <patternFill patternType="solid">
        <fgColor rgb="FFFBE4E4"/>
        <bgColor rgb="FFFCE4D6"/>
      </patternFill>
    </fill>
    <fill>
      <patternFill patternType="solid">
        <fgColor rgb="FFFFF2CC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D9E1F2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FCE4D6"/>
        <bgColor rgb="FFFBE4E4"/>
      </patternFill>
    </fill>
    <fill>
      <patternFill patternType="solid">
        <fgColor rgb="FFFFFFFF"/>
        <bgColor rgb="FFEDEDED"/>
      </patternFill>
    </fill>
    <fill>
      <patternFill patternType="solid">
        <fgColor rgb="001F3352"/>
      </patternFill>
    </fill>
    <fill>
      <patternFill patternType="solid">
        <fgColor rgb="00FFF2CC"/>
      </patternFill>
    </fill>
    <fill>
      <patternFill patternType="solid">
        <fgColor rgb="00F2F4F7"/>
      </patternFill>
    </fill>
    <fill>
      <patternFill patternType="solid">
        <fgColor rgb="00DDE4EE"/>
      </patternFill>
    </fill>
    <fill>
      <patternFill patternType="solid">
        <fgColor rgb="FFFFF2CC"/>
      </patternFill>
    </fill>
    <fill>
      <patternFill patternType="solid">
        <fgColor rgb="FFF8CBAD"/>
      </patternFill>
    </fill>
    <fill>
      <patternFill patternType="solid">
        <fgColor rgb="FFE2EFDA"/>
      </patternFill>
    </fill>
    <fill>
      <patternFill patternType="solid">
        <fgColor rgb="FFDDEBF7"/>
      </patternFill>
    </fill>
    <fill>
      <patternFill patternType="solid">
        <fgColor rgb="FF1F3864"/>
      </patternFill>
    </fill>
    <fill>
      <patternFill patternType="solid">
        <fgColor rgb="FFEDEDED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C9D1DC"/>
      </left>
      <right style="thin">
        <color rgb="00C9D1DC"/>
      </right>
      <top style="thin">
        <color rgb="00C9D1DC"/>
      </top>
      <bottom style="thin">
        <color rgb="00C9D1DC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1" fillId="2" borderId="2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general" vertical="top" wrapText="1"/>
    </xf>
    <xf numFmtId="0" fontId="34" fillId="0" borderId="2" applyAlignment="1" pivotButton="0" quotePrefix="0" xfId="0">
      <alignment horizontal="general" vertical="top" wrapText="1"/>
    </xf>
    <xf numFmtId="0" fontId="35" fillId="5" borderId="2" applyAlignment="1" pivotButton="0" quotePrefix="0" xfId="0">
      <alignment horizontal="general" vertical="top" wrapText="1"/>
    </xf>
    <xf numFmtId="0" fontId="35" fillId="6" borderId="2" applyAlignment="1" pivotButton="0" quotePrefix="0" xfId="0">
      <alignment horizontal="general" vertical="top" wrapText="1"/>
    </xf>
    <xf numFmtId="0" fontId="35" fillId="7" borderId="2" applyAlignment="1" pivotButton="0" quotePrefix="0" xfId="0">
      <alignment horizontal="general" vertical="top" wrapText="1"/>
    </xf>
    <xf numFmtId="0" fontId="35" fillId="8" borderId="2" applyAlignment="1" pivotButton="0" quotePrefix="0" xfId="0">
      <alignment horizontal="general" vertical="top" wrapText="1"/>
    </xf>
    <xf numFmtId="0" fontId="35" fillId="3" borderId="2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bottom" wrapText="1"/>
    </xf>
    <xf numFmtId="0" fontId="36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38" fillId="0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3" fontId="39" fillId="0" borderId="2" applyAlignment="1" pivotButton="0" quotePrefix="0" xfId="0">
      <alignment horizontal="general" vertical="bottom"/>
    </xf>
    <xf numFmtId="0" fontId="34" fillId="0" borderId="2" applyAlignment="1" pivotButton="0" quotePrefix="0" xfId="0">
      <alignment horizontal="general" vertical="bottom"/>
    </xf>
    <xf numFmtId="0" fontId="40" fillId="0" borderId="2" applyAlignment="1" pivotButton="0" quotePrefix="0" xfId="0">
      <alignment horizontal="general" vertical="top" wrapText="1"/>
    </xf>
    <xf numFmtId="3" fontId="42" fillId="10" borderId="2" applyAlignment="1" pivotButton="0" quotePrefix="0" xfId="0">
      <alignment horizontal="general" vertical="bottom"/>
    </xf>
    <xf numFmtId="3" fontId="42" fillId="0" borderId="2" applyAlignment="1" pivotButton="0" quotePrefix="0" xfId="0">
      <alignment horizontal="general" vertical="bottom"/>
    </xf>
    <xf numFmtId="3" fontId="43" fillId="0" borderId="2" applyAlignment="1" pivotButton="0" quotePrefix="0" xfId="0">
      <alignment horizontal="general" vertical="bottom"/>
    </xf>
    <xf numFmtId="0" fontId="35" fillId="0" borderId="2" applyAlignment="1" pivotButton="0" quotePrefix="0" xfId="0">
      <alignment horizontal="general" vertical="bottom"/>
    </xf>
    <xf numFmtId="3" fontId="45" fillId="11" borderId="2" applyAlignment="1" pivotButton="0" quotePrefix="0" xfId="0">
      <alignment horizontal="general" vertical="bottom"/>
    </xf>
    <xf numFmtId="9" fontId="42" fillId="10" borderId="2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1" fillId="2" borderId="2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top" wrapText="1"/>
    </xf>
    <xf numFmtId="0" fontId="42" fillId="0" borderId="2" applyAlignment="1" pivotButton="0" quotePrefix="0" xfId="0">
      <alignment horizontal="general" vertical="bottom"/>
    </xf>
    <xf numFmtId="0" fontId="46" fillId="0" borderId="2" applyAlignment="1" pivotButton="0" quotePrefix="0" xfId="0">
      <alignment horizontal="general" vertical="bottom"/>
    </xf>
    <xf numFmtId="164" fontId="39" fillId="0" borderId="2" applyAlignment="1" pivotButton="0" quotePrefix="0" xfId="0">
      <alignment horizontal="general" vertical="bottom"/>
    </xf>
    <xf numFmtId="3" fontId="46" fillId="0" borderId="2" applyAlignment="1" pivotButton="0" quotePrefix="0" xfId="0">
      <alignment horizontal="general" vertical="bottom"/>
    </xf>
    <xf numFmtId="2" fontId="42" fillId="10" borderId="2" applyAlignment="1" pivotButton="0" quotePrefix="0" xfId="0">
      <alignment horizontal="general" vertical="bottom"/>
    </xf>
    <xf numFmtId="0" fontId="41" fillId="0" borderId="2" applyAlignment="1" pivotButton="0" quotePrefix="0" xfId="0">
      <alignment horizontal="general" vertical="top" wrapText="1"/>
    </xf>
    <xf numFmtId="1" fontId="42" fillId="10" borderId="2" applyAlignment="1" pivotButton="0" quotePrefix="0" xfId="0">
      <alignment horizontal="general" vertical="bottom"/>
    </xf>
    <xf numFmtId="0" fontId="44" fillId="0" borderId="2" applyAlignment="1" pivotButton="0" quotePrefix="0" xfId="0">
      <alignment horizontal="general" vertical="bottom"/>
    </xf>
    <xf numFmtId="0" fontId="31" fillId="2" borderId="2" applyAlignment="1" pivotButton="0" quotePrefix="0" xfId="0">
      <alignment horizontal="center" vertical="bottom" wrapText="1"/>
    </xf>
    <xf numFmtId="0" fontId="32" fillId="2" borderId="2" applyAlignment="1" pivotButton="0" quotePrefix="0" xfId="0">
      <alignment horizontal="center" vertical="bottom" wrapText="1"/>
    </xf>
    <xf numFmtId="0" fontId="39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2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47" fillId="11" borderId="2" applyAlignment="1" pivotButton="0" quotePrefix="0" xfId="0">
      <alignment horizontal="general" vertical="bottom"/>
    </xf>
    <xf numFmtId="2" fontId="47" fillId="11" borderId="2" applyAlignment="1" pivotButton="0" quotePrefix="0" xfId="0">
      <alignment horizontal="general" vertical="bottom"/>
    </xf>
    <xf numFmtId="0" fontId="48" fillId="0" borderId="2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3" fontId="42" fillId="10" borderId="0" applyAlignment="1" pivotButton="0" quotePrefix="0" xfId="0">
      <alignment horizontal="general" vertical="bottom"/>
    </xf>
    <xf numFmtId="9" fontId="42" fillId="10" borderId="0" applyAlignment="1" pivotButton="0" quotePrefix="0" xfId="0">
      <alignment horizontal="general" vertical="bottom"/>
    </xf>
    <xf numFmtId="1" fontId="43" fillId="0" borderId="2" applyAlignment="1" pivotButton="0" quotePrefix="0" xfId="0">
      <alignment horizontal="general" vertical="bottom"/>
    </xf>
    <xf numFmtId="3" fontId="42" fillId="0" borderId="0" applyAlignment="1" pivotButton="0" quotePrefix="0" xfId="0">
      <alignment horizontal="general" vertical="bottom"/>
    </xf>
    <xf numFmtId="164" fontId="45" fillId="11" borderId="2" applyAlignment="1" pivotButton="0" quotePrefix="0" xfId="0">
      <alignment horizontal="general" vertical="bottom"/>
    </xf>
    <xf numFmtId="164" fontId="43" fillId="0" borderId="2" applyAlignment="1" pivotButton="0" quotePrefix="0" xfId="0">
      <alignment horizontal="general" vertical="bottom"/>
    </xf>
    <xf numFmtId="164" fontId="42" fillId="10" borderId="2" applyAlignment="1" pivotButton="0" quotePrefix="0" xfId="0">
      <alignment horizontal="general" vertical="bottom"/>
    </xf>
    <xf numFmtId="165" fontId="45" fillId="11" borderId="2" applyAlignment="1" pivotButton="0" quotePrefix="0" xfId="0">
      <alignment horizontal="general" vertical="bottom"/>
    </xf>
    <xf numFmtId="166" fontId="42" fillId="10" borderId="0" applyAlignment="1" pivotButton="0" quotePrefix="0" xfId="0">
      <alignment horizontal="general" vertical="bottom"/>
    </xf>
    <xf numFmtId="2" fontId="43" fillId="0" borderId="2" applyAlignment="1" pivotButton="0" quotePrefix="0" xfId="0">
      <alignment horizontal="general" vertical="bottom"/>
    </xf>
    <xf numFmtId="2" fontId="45" fillId="11" borderId="2" applyAlignment="1" pivotButton="0" quotePrefix="0" xfId="0">
      <alignment horizontal="general" vertical="bottom"/>
    </xf>
    <xf numFmtId="167" fontId="43" fillId="0" borderId="2" applyAlignment="1" pivotButton="0" quotePrefix="0" xfId="0">
      <alignment horizontal="general" vertical="bottom"/>
    </xf>
    <xf numFmtId="9" fontId="43" fillId="0" borderId="2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51" fillId="0" borderId="0" applyAlignment="1" pivotButton="0" quotePrefix="0" xfId="0">
      <alignment horizontal="general" vertical="top" wrapText="1"/>
    </xf>
    <xf numFmtId="0" fontId="52" fillId="2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center" wrapText="1"/>
    </xf>
    <xf numFmtId="0" fontId="55" fillId="0" borderId="1" applyAlignment="1" pivotButton="0" quotePrefix="0" xfId="0">
      <alignment horizontal="center" vertical="bottom"/>
    </xf>
    <xf numFmtId="3" fontId="42" fillId="12" borderId="1" applyAlignment="1" pivotButton="0" quotePrefix="0" xfId="0">
      <alignment horizontal="general" vertical="bottom"/>
    </xf>
    <xf numFmtId="0" fontId="56" fillId="0" borderId="1" applyAlignment="1" pivotButton="0" quotePrefix="0" xfId="0">
      <alignment horizontal="general" vertical="bottom"/>
    </xf>
    <xf numFmtId="3" fontId="0" fillId="12" borderId="1" applyAlignment="1" pivotButton="0" quotePrefix="0" xfId="0">
      <alignment horizontal="general" vertical="bottom"/>
    </xf>
    <xf numFmtId="0" fontId="59" fillId="0" borderId="1" applyAlignment="1" pivotButton="0" quotePrefix="0" xfId="0">
      <alignment horizontal="general" vertical="bottom"/>
    </xf>
    <xf numFmtId="0" fontId="60" fillId="5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62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center" wrapText="1"/>
    </xf>
    <xf numFmtId="168" fontId="42" fillId="12" borderId="1" applyAlignment="1" pivotButton="0" quotePrefix="0" xfId="0">
      <alignment horizontal="general" vertical="bottom"/>
    </xf>
    <xf numFmtId="0" fontId="66" fillId="0" borderId="0" applyAlignment="1" pivotButton="0" quotePrefix="0" xfId="0">
      <alignment horizontal="general" vertical="bottom"/>
    </xf>
    <xf numFmtId="0" fontId="56" fillId="0" borderId="1" applyAlignment="1" pivotButton="0" quotePrefix="0" xfId="0">
      <alignment horizontal="general" vertical="center" wrapText="1"/>
    </xf>
    <xf numFmtId="0" fontId="18" fillId="3" borderId="1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bottom"/>
    </xf>
    <xf numFmtId="0" fontId="32" fillId="2" borderId="2" applyAlignment="1" pivotButton="0" quotePrefix="0" xfId="0">
      <alignment horizontal="general" vertical="bottom"/>
    </xf>
    <xf numFmtId="168" fontId="42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3" fontId="39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54" fillId="0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left" vertical="center" wrapText="1"/>
    </xf>
    <xf numFmtId="0" fontId="55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left" vertical="center" wrapText="1"/>
    </xf>
    <xf numFmtId="0" fontId="55" fillId="5" borderId="1" applyAlignment="1" pivotButton="0" quotePrefix="0" xfId="0">
      <alignment horizontal="center" vertical="center" wrapText="1"/>
    </xf>
    <xf numFmtId="3" fontId="42" fillId="5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left" vertical="center" wrapText="1"/>
    </xf>
    <xf numFmtId="3" fontId="42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general" vertical="center" wrapText="1"/>
    </xf>
    <xf numFmtId="0" fontId="55" fillId="5" borderId="1" applyAlignment="1" pivotButton="0" quotePrefix="0" xfId="0">
      <alignment horizontal="left" vertical="center" wrapText="1"/>
    </xf>
    <xf numFmtId="0" fontId="56" fillId="0" borderId="0" applyAlignment="1" pivotButton="0" quotePrefix="0" xfId="0">
      <alignment horizontal="general" vertical="bottom"/>
    </xf>
    <xf numFmtId="0" fontId="42" fillId="0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center" wrapText="1"/>
    </xf>
    <xf numFmtId="0" fontId="49" fillId="5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50" fillId="5" borderId="0" applyAlignment="1" pivotButton="0" quotePrefix="0" xfId="0">
      <alignment horizontal="general" vertical="bottom"/>
    </xf>
    <xf numFmtId="0" fontId="51" fillId="5" borderId="0" applyAlignment="1" pivotButton="0" quotePrefix="0" xfId="0">
      <alignment horizontal="general" vertical="top" wrapText="1"/>
    </xf>
    <xf numFmtId="0" fontId="71" fillId="0" borderId="0" applyAlignment="1" pivotButton="0" quotePrefix="0" xfId="0">
      <alignment horizontal="general" vertical="bottom"/>
    </xf>
    <xf numFmtId="0" fontId="72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25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center" wrapText="1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center" wrapText="1"/>
    </xf>
    <xf numFmtId="0" fontId="10" fillId="0" borderId="0" applyAlignment="1" pivotButton="0" quotePrefix="0" xfId="0">
      <alignment horizontal="general" vertical="center" wrapText="1"/>
    </xf>
    <xf numFmtId="0" fontId="8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2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4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left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2" fillId="4" borderId="1" applyAlignment="1" pivotButton="0" quotePrefix="0" xfId="0">
      <alignment horizontal="center" vertical="center" wrapText="1"/>
    </xf>
    <xf numFmtId="0" fontId="25" fillId="0" borderId="0" applyAlignment="1" pivotButton="0" quotePrefix="0" xfId="0">
      <alignment horizontal="general" vertical="bottom"/>
    </xf>
    <xf numFmtId="0" fontId="27" fillId="0" borderId="0" applyAlignment="1" pivotButton="0" quotePrefix="0" xfId="0">
      <alignment horizontal="general" vertical="bottom"/>
    </xf>
    <xf numFmtId="0" fontId="29" fillId="0" borderId="0" applyAlignment="1" pivotButton="0" quotePrefix="0" xfId="0">
      <alignment horizontal="general" vertical="bottom"/>
    </xf>
    <xf numFmtId="0" fontId="31" fillId="2" borderId="2" applyAlignment="1" pivotButton="0" quotePrefix="0" xfId="0">
      <alignment horizontal="center" vertical="center" wrapText="1"/>
    </xf>
    <xf numFmtId="0" fontId="33" fillId="0" borderId="2" applyAlignment="1" pivotButton="0" quotePrefix="0" xfId="0">
      <alignment horizontal="general" vertical="top" wrapText="1"/>
    </xf>
    <xf numFmtId="0" fontId="34" fillId="0" borderId="2" applyAlignment="1" pivotButton="0" quotePrefix="0" xfId="0">
      <alignment horizontal="general" vertical="top" wrapText="1"/>
    </xf>
    <xf numFmtId="0" fontId="35" fillId="5" borderId="2" applyAlignment="1" pivotButton="0" quotePrefix="0" xfId="0">
      <alignment horizontal="general" vertical="top" wrapText="1"/>
    </xf>
    <xf numFmtId="0" fontId="35" fillId="6" borderId="2" applyAlignment="1" pivotButton="0" quotePrefix="0" xfId="0">
      <alignment horizontal="general" vertical="top" wrapText="1"/>
    </xf>
    <xf numFmtId="0" fontId="35" fillId="7" borderId="2" applyAlignment="1" pivotButton="0" quotePrefix="0" xfId="0">
      <alignment horizontal="general" vertical="top" wrapText="1"/>
    </xf>
    <xf numFmtId="0" fontId="35" fillId="8" borderId="2" applyAlignment="1" pivotButton="0" quotePrefix="0" xfId="0">
      <alignment horizontal="general" vertical="top" wrapText="1"/>
    </xf>
    <xf numFmtId="0" fontId="35" fillId="3" borderId="2" applyAlignment="1" pivotButton="0" quotePrefix="0" xfId="0">
      <alignment horizontal="general" vertical="top" wrapText="1"/>
    </xf>
    <xf numFmtId="0" fontId="29" fillId="0" borderId="0" applyAlignment="1" pivotButton="0" quotePrefix="0" xfId="0">
      <alignment horizontal="general" vertical="bottom" wrapText="1"/>
    </xf>
    <xf numFmtId="0" fontId="36" fillId="9" borderId="0" applyAlignment="1" pivotButton="0" quotePrefix="0" xfId="0">
      <alignment horizontal="general" vertical="bottom"/>
    </xf>
    <xf numFmtId="0" fontId="0" fillId="9" borderId="0" applyAlignment="1" pivotButton="0" quotePrefix="0" xfId="0">
      <alignment horizontal="general" vertical="bottom"/>
    </xf>
    <xf numFmtId="0" fontId="38" fillId="0" borderId="2" applyAlignment="1" pivotButton="0" quotePrefix="0" xfId="0">
      <alignment horizontal="general" vertical="bottom"/>
    </xf>
    <xf numFmtId="0" fontId="33" fillId="0" borderId="2" applyAlignment="1" pivotButton="0" quotePrefix="0" xfId="0">
      <alignment horizontal="general" vertical="bottom"/>
    </xf>
    <xf numFmtId="3" fontId="39" fillId="0" borderId="2" applyAlignment="1" pivotButton="0" quotePrefix="0" xfId="0">
      <alignment horizontal="general" vertical="bottom"/>
    </xf>
    <xf numFmtId="0" fontId="34" fillId="0" borderId="2" applyAlignment="1" pivotButton="0" quotePrefix="0" xfId="0">
      <alignment horizontal="general" vertical="bottom"/>
    </xf>
    <xf numFmtId="0" fontId="40" fillId="0" borderId="2" applyAlignment="1" pivotButton="0" quotePrefix="0" xfId="0">
      <alignment horizontal="general" vertical="top" wrapText="1"/>
    </xf>
    <xf numFmtId="3" fontId="42" fillId="10" borderId="2" applyAlignment="1" pivotButton="0" quotePrefix="0" xfId="0">
      <alignment horizontal="general" vertical="bottom"/>
    </xf>
    <xf numFmtId="3" fontId="42" fillId="0" borderId="2" applyAlignment="1" pivotButton="0" quotePrefix="0" xfId="0">
      <alignment horizontal="general" vertical="bottom"/>
    </xf>
    <xf numFmtId="3" fontId="43" fillId="0" borderId="2" applyAlignment="1" pivotButton="0" quotePrefix="0" xfId="0">
      <alignment horizontal="general" vertical="bottom"/>
    </xf>
    <xf numFmtId="0" fontId="35" fillId="0" borderId="2" applyAlignment="1" pivotButton="0" quotePrefix="0" xfId="0">
      <alignment horizontal="general" vertical="bottom"/>
    </xf>
    <xf numFmtId="3" fontId="45" fillId="11" borderId="2" applyAlignment="1" pivotButton="0" quotePrefix="0" xfId="0">
      <alignment horizontal="general" vertical="bottom"/>
    </xf>
    <xf numFmtId="9" fontId="42" fillId="10" borderId="2" applyAlignment="1" pivotButton="0" quotePrefix="0" xfId="0">
      <alignment horizontal="general" vertical="bottom"/>
    </xf>
    <xf numFmtId="0" fontId="38" fillId="0" borderId="0" applyAlignment="1" pivotButton="0" quotePrefix="0" xfId="0">
      <alignment horizontal="general" vertical="bottom"/>
    </xf>
    <xf numFmtId="0" fontId="31" fillId="2" borderId="2" applyAlignment="1" pivotButton="0" quotePrefix="0" xfId="0">
      <alignment horizontal="general" vertical="bottom"/>
    </xf>
    <xf numFmtId="0" fontId="40" fillId="0" borderId="0" applyAlignment="1" pivotButton="0" quotePrefix="0" xfId="0">
      <alignment horizontal="general" vertical="top" wrapText="1"/>
    </xf>
    <xf numFmtId="0" fontId="42" fillId="0" borderId="2" applyAlignment="1" pivotButton="0" quotePrefix="0" xfId="0">
      <alignment horizontal="general" vertical="bottom"/>
    </xf>
    <xf numFmtId="0" fontId="46" fillId="0" borderId="2" applyAlignment="1" pivotButton="0" quotePrefix="0" xfId="0">
      <alignment horizontal="general" vertical="bottom"/>
    </xf>
    <xf numFmtId="164" fontId="39" fillId="0" borderId="2" applyAlignment="1" pivotButton="0" quotePrefix="0" xfId="0">
      <alignment horizontal="general" vertical="bottom"/>
    </xf>
    <xf numFmtId="3" fontId="46" fillId="0" borderId="2" applyAlignment="1" pivotButton="0" quotePrefix="0" xfId="0">
      <alignment horizontal="general" vertical="bottom"/>
    </xf>
    <xf numFmtId="2" fontId="42" fillId="10" borderId="2" applyAlignment="1" pivotButton="0" quotePrefix="0" xfId="0">
      <alignment horizontal="general" vertical="bottom"/>
    </xf>
    <xf numFmtId="0" fontId="41" fillId="0" borderId="2" applyAlignment="1" pivotButton="0" quotePrefix="0" xfId="0">
      <alignment horizontal="general" vertical="top" wrapText="1"/>
    </xf>
    <xf numFmtId="1" fontId="42" fillId="10" borderId="2" applyAlignment="1" pivotButton="0" quotePrefix="0" xfId="0">
      <alignment horizontal="general" vertical="bottom"/>
    </xf>
    <xf numFmtId="0" fontId="44" fillId="0" borderId="2" applyAlignment="1" pivotButton="0" quotePrefix="0" xfId="0">
      <alignment horizontal="general" vertical="bottom"/>
    </xf>
    <xf numFmtId="0" fontId="31" fillId="2" borderId="2" applyAlignment="1" pivotButton="0" quotePrefix="0" xfId="0">
      <alignment horizontal="center" vertical="bottom" wrapText="1"/>
    </xf>
    <xf numFmtId="0" fontId="32" fillId="2" borderId="2" applyAlignment="1" pivotButton="0" quotePrefix="0" xfId="0">
      <alignment horizontal="center" vertical="bottom" wrapText="1"/>
    </xf>
    <xf numFmtId="0" fontId="39" fillId="0" borderId="2" applyAlignment="1" pivotButton="0" quotePrefix="0" xfId="0">
      <alignment horizontal="general" vertical="bottom"/>
    </xf>
    <xf numFmtId="3" fontId="0" fillId="0" borderId="2" applyAlignment="1" pivotButton="0" quotePrefix="0" xfId="0">
      <alignment horizontal="general" vertical="bottom"/>
    </xf>
    <xf numFmtId="2" fontId="0" fillId="0" borderId="2" applyAlignment="1" pivotButton="0" quotePrefix="0" xfId="0">
      <alignment horizontal="general" vertical="bottom"/>
    </xf>
    <xf numFmtId="0" fontId="0" fillId="0" borderId="2" applyAlignment="1" pivotButton="0" quotePrefix="0" xfId="0">
      <alignment horizontal="general" vertical="bottom"/>
    </xf>
    <xf numFmtId="3" fontId="47" fillId="11" borderId="2" applyAlignment="1" pivotButton="0" quotePrefix="0" xfId="0">
      <alignment horizontal="general" vertical="bottom"/>
    </xf>
    <xf numFmtId="2" fontId="47" fillId="11" borderId="2" applyAlignment="1" pivotButton="0" quotePrefix="0" xfId="0">
      <alignment horizontal="general" vertical="bottom"/>
    </xf>
    <xf numFmtId="0" fontId="48" fillId="0" borderId="2" applyAlignment="1" pivotButton="0" quotePrefix="0" xfId="0">
      <alignment horizontal="general" vertical="bottom"/>
    </xf>
    <xf numFmtId="0" fontId="35" fillId="0" borderId="0" applyAlignment="1" pivotButton="0" quotePrefix="0" xfId="0">
      <alignment horizontal="general" vertical="bottom"/>
    </xf>
    <xf numFmtId="3" fontId="42" fillId="10" borderId="0" applyAlignment="1" pivotButton="0" quotePrefix="0" xfId="0">
      <alignment horizontal="general" vertical="bottom"/>
    </xf>
    <xf numFmtId="9" fontId="42" fillId="10" borderId="0" applyAlignment="1" pivotButton="0" quotePrefix="0" xfId="0">
      <alignment horizontal="general" vertical="bottom"/>
    </xf>
    <xf numFmtId="1" fontId="43" fillId="0" borderId="2" applyAlignment="1" pivotButton="0" quotePrefix="0" xfId="0">
      <alignment horizontal="general" vertical="bottom"/>
    </xf>
    <xf numFmtId="3" fontId="42" fillId="0" borderId="0" applyAlignment="1" pivotButton="0" quotePrefix="0" xfId="0">
      <alignment horizontal="general" vertical="bottom"/>
    </xf>
    <xf numFmtId="164" fontId="45" fillId="11" borderId="2" applyAlignment="1" pivotButton="0" quotePrefix="0" xfId="0">
      <alignment horizontal="general" vertical="bottom"/>
    </xf>
    <xf numFmtId="164" fontId="43" fillId="0" borderId="2" applyAlignment="1" pivotButton="0" quotePrefix="0" xfId="0">
      <alignment horizontal="general" vertical="bottom"/>
    </xf>
    <xf numFmtId="164" fontId="42" fillId="10" borderId="2" applyAlignment="1" pivotButton="0" quotePrefix="0" xfId="0">
      <alignment horizontal="general" vertical="bottom"/>
    </xf>
    <xf numFmtId="165" fontId="45" fillId="11" borderId="2" applyAlignment="1" pivotButton="0" quotePrefix="0" xfId="0">
      <alignment horizontal="general" vertical="bottom"/>
    </xf>
    <xf numFmtId="166" fontId="42" fillId="10" borderId="0" applyAlignment="1" pivotButton="0" quotePrefix="0" xfId="0">
      <alignment horizontal="general" vertical="bottom"/>
    </xf>
    <xf numFmtId="2" fontId="43" fillId="0" borderId="2" applyAlignment="1" pivotButton="0" quotePrefix="0" xfId="0">
      <alignment horizontal="general" vertical="bottom"/>
    </xf>
    <xf numFmtId="2" fontId="45" fillId="11" borderId="2" applyAlignment="1" pivotButton="0" quotePrefix="0" xfId="0">
      <alignment horizontal="general" vertical="bottom"/>
    </xf>
    <xf numFmtId="167" fontId="43" fillId="0" borderId="2" applyAlignment="1" pivotButton="0" quotePrefix="0" xfId="0">
      <alignment horizontal="general" vertical="bottom"/>
    </xf>
    <xf numFmtId="9" fontId="43" fillId="0" borderId="2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49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50" fillId="0" borderId="0" applyAlignment="1" pivotButton="0" quotePrefix="0" xfId="0">
      <alignment horizontal="general" vertical="bottom"/>
    </xf>
    <xf numFmtId="0" fontId="51" fillId="0" borderId="0" applyAlignment="1" pivotButton="0" quotePrefix="0" xfId="0">
      <alignment horizontal="general" vertical="top" wrapText="1"/>
    </xf>
    <xf numFmtId="0" fontId="52" fillId="2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center" vertical="bottom"/>
    </xf>
    <xf numFmtId="0" fontId="15" fillId="0" borderId="1" applyAlignment="1" pivotButton="0" quotePrefix="0" xfId="0">
      <alignment horizontal="general" vertical="center" wrapText="1"/>
    </xf>
    <xf numFmtId="0" fontId="55" fillId="0" borderId="1" applyAlignment="1" pivotButton="0" quotePrefix="0" xfId="0">
      <alignment horizontal="center" vertical="bottom"/>
    </xf>
    <xf numFmtId="3" fontId="42" fillId="12" borderId="1" applyAlignment="1" pivotButton="0" quotePrefix="0" xfId="0">
      <alignment horizontal="general" vertical="bottom"/>
    </xf>
    <xf numFmtId="0" fontId="56" fillId="0" borderId="1" applyAlignment="1" pivotButton="0" quotePrefix="0" xfId="0">
      <alignment horizontal="general" vertical="bottom"/>
    </xf>
    <xf numFmtId="3" fontId="0" fillId="12" borderId="1" applyAlignment="1" pivotButton="0" quotePrefix="0" xfId="0">
      <alignment horizontal="general" vertical="bottom"/>
    </xf>
    <xf numFmtId="0" fontId="59" fillId="0" borderId="1" applyAlignment="1" pivotButton="0" quotePrefix="0" xfId="0">
      <alignment horizontal="general" vertical="bottom"/>
    </xf>
    <xf numFmtId="0" fontId="60" fillId="5" borderId="0" applyAlignment="1" pivotButton="0" quotePrefix="0" xfId="0">
      <alignment horizontal="general" vertical="bottom"/>
    </xf>
    <xf numFmtId="0" fontId="61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62" fillId="0" borderId="0" applyAlignment="1" pivotButton="0" quotePrefix="0" xfId="0">
      <alignment horizontal="general" vertical="top" wrapText="1"/>
    </xf>
    <xf numFmtId="0" fontId="14" fillId="0" borderId="1" applyAlignment="1" pivotButton="0" quotePrefix="0" xfId="0">
      <alignment horizontal="general" vertical="center" wrapText="1"/>
    </xf>
    <xf numFmtId="168" fontId="42" fillId="12" borderId="1" applyAlignment="1" pivotButton="0" quotePrefix="0" xfId="0">
      <alignment horizontal="general" vertical="bottom"/>
    </xf>
    <xf numFmtId="0" fontId="66" fillId="0" borderId="0" applyAlignment="1" pivotButton="0" quotePrefix="0" xfId="0">
      <alignment horizontal="general" vertical="bottom"/>
    </xf>
    <xf numFmtId="0" fontId="56" fillId="0" borderId="1" applyAlignment="1" pivotButton="0" quotePrefix="0" xfId="0">
      <alignment horizontal="general" vertical="center" wrapText="1"/>
    </xf>
    <xf numFmtId="0" fontId="18" fillId="3" borderId="1" applyAlignment="1" pivotButton="0" quotePrefix="0" xfId="0">
      <alignment horizontal="general" vertical="bottom"/>
    </xf>
    <xf numFmtId="0" fontId="68" fillId="0" borderId="0" applyAlignment="1" pivotButton="0" quotePrefix="0" xfId="0">
      <alignment horizontal="general" vertical="bottom"/>
    </xf>
    <xf numFmtId="0" fontId="32" fillId="2" borderId="2" applyAlignment="1" pivotButton="0" quotePrefix="0" xfId="0">
      <alignment horizontal="general" vertical="bottom"/>
    </xf>
    <xf numFmtId="168" fontId="42" fillId="0" borderId="2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34" fillId="0" borderId="0" applyAlignment="1" pivotButton="0" quotePrefix="0" xfId="0">
      <alignment horizontal="general" vertical="bottom"/>
    </xf>
    <xf numFmtId="3" fontId="39" fillId="0" borderId="0" applyAlignment="1" pivotButton="0" quotePrefix="0" xfId="0">
      <alignment horizontal="general" vertical="bottom"/>
    </xf>
    <xf numFmtId="169" fontId="0" fillId="0" borderId="0" applyAlignment="1" pivotButton="0" quotePrefix="0" xfId="0">
      <alignment horizontal="general" vertical="bottom"/>
    </xf>
    <xf numFmtId="0" fontId="54" fillId="0" borderId="1" applyAlignment="1" pivotButton="0" quotePrefix="0" xfId="0">
      <alignment horizontal="center" vertical="center" wrapText="1"/>
    </xf>
    <xf numFmtId="0" fontId="54" fillId="0" borderId="1" applyAlignment="1" pivotButton="0" quotePrefix="0" xfId="0">
      <alignment horizontal="left" vertical="center" wrapText="1"/>
    </xf>
    <xf numFmtId="0" fontId="55" fillId="0" borderId="1" applyAlignment="1" pivotButton="0" quotePrefix="0" xfId="0">
      <alignment horizontal="center" vertical="center" wrapText="1"/>
    </xf>
    <xf numFmtId="0" fontId="55" fillId="0" borderId="1" applyAlignment="1" pivotButton="0" quotePrefix="0" xfId="0">
      <alignment horizontal="left" vertical="center" wrapText="1"/>
    </xf>
    <xf numFmtId="0" fontId="54" fillId="5" borderId="1" applyAlignment="1" pivotButton="0" quotePrefix="0" xfId="0">
      <alignment horizontal="center" vertical="center" wrapText="1"/>
    </xf>
    <xf numFmtId="0" fontId="56" fillId="5" borderId="1" applyAlignment="1" pivotButton="0" quotePrefix="0" xfId="0">
      <alignment horizontal="left" vertical="center" wrapText="1"/>
    </xf>
    <xf numFmtId="0" fontId="55" fillId="5" borderId="1" applyAlignment="1" pivotButton="0" quotePrefix="0" xfId="0">
      <alignment horizontal="center" vertical="center" wrapText="1"/>
    </xf>
    <xf numFmtId="3" fontId="42" fillId="5" borderId="1" applyAlignment="1" pivotButton="0" quotePrefix="0" xfId="0">
      <alignment horizontal="center" vertical="center" wrapText="1"/>
    </xf>
    <xf numFmtId="0" fontId="54" fillId="5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  <xf numFmtId="0" fontId="56" fillId="0" borderId="1" applyAlignment="1" pivotButton="0" quotePrefix="0" xfId="0">
      <alignment horizontal="left" vertical="center" wrapText="1"/>
    </xf>
    <xf numFmtId="3" fontId="42" fillId="0" borderId="1" applyAlignment="1" pivotButton="0" quotePrefix="0" xfId="0">
      <alignment horizontal="center" vertical="center" wrapText="1"/>
    </xf>
    <xf numFmtId="0" fontId="57" fillId="0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general" vertical="center" wrapText="1"/>
    </xf>
    <xf numFmtId="0" fontId="55" fillId="5" borderId="1" applyAlignment="1" pivotButton="0" quotePrefix="0" xfId="0">
      <alignment horizontal="left" vertical="center" wrapText="1"/>
    </xf>
    <xf numFmtId="0" fontId="56" fillId="0" borderId="0" applyAlignment="1" pivotButton="0" quotePrefix="0" xfId="0">
      <alignment horizontal="general" vertical="bottom"/>
    </xf>
    <xf numFmtId="0" fontId="42" fillId="0" borderId="1" applyAlignment="1" pivotButton="0" quotePrefix="0" xfId="0">
      <alignment horizontal="center" vertical="center" wrapText="1"/>
    </xf>
    <xf numFmtId="0" fontId="57" fillId="0" borderId="0" applyAlignment="1" pivotButton="0" quotePrefix="0" xfId="0">
      <alignment horizontal="general" vertical="bottom"/>
    </xf>
    <xf numFmtId="0" fontId="34" fillId="0" borderId="1" applyAlignment="1" pivotButton="0" quotePrefix="0" xfId="0">
      <alignment horizontal="general" vertical="center" wrapText="1"/>
    </xf>
    <xf numFmtId="0" fontId="49" fillId="5" borderId="0" applyAlignment="1" pivotButton="0" quotePrefix="0" xfId="0">
      <alignment horizontal="general" vertical="bottom"/>
    </xf>
    <xf numFmtId="0" fontId="15" fillId="5" borderId="0" applyAlignment="1" pivotButton="0" quotePrefix="0" xfId="0">
      <alignment horizontal="general" vertical="bottom"/>
    </xf>
    <xf numFmtId="0" fontId="50" fillId="5" borderId="0" applyAlignment="1" pivotButton="0" quotePrefix="0" xfId="0">
      <alignment horizontal="general" vertical="bottom"/>
    </xf>
    <xf numFmtId="0" fontId="51" fillId="5" borderId="0" applyAlignment="1" pivotButton="0" quotePrefix="0" xfId="0">
      <alignment horizontal="general" vertical="top" wrapText="1"/>
    </xf>
    <xf numFmtId="0" fontId="71" fillId="0" borderId="0" applyAlignment="1" pivotButton="0" quotePrefix="0" xfId="0">
      <alignment horizontal="general" vertical="bottom"/>
    </xf>
    <xf numFmtId="0" fontId="72" fillId="3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73" fillId="0" borderId="0" applyAlignment="1" pivotButton="0" quotePrefix="0" xfId="0">
      <alignment horizontal="general" vertical="bottom"/>
    </xf>
    <xf numFmtId="0" fontId="75" fillId="0" borderId="0" pivotButton="0" quotePrefix="0" xfId="0"/>
    <xf numFmtId="0" fontId="76" fillId="0" borderId="0" pivotButton="0" quotePrefix="0" xfId="0"/>
    <xf numFmtId="0" fontId="78" fillId="0" borderId="0" applyAlignment="1" pivotButton="0" quotePrefix="0" xfId="0">
      <alignment vertical="top" wrapText="1"/>
    </xf>
    <xf numFmtId="0" fontId="77" fillId="13" borderId="0" applyAlignment="1" pivotButton="0" quotePrefix="0" xfId="0">
      <alignment vertical="top" wrapText="1"/>
    </xf>
    <xf numFmtId="0" fontId="78" fillId="14" borderId="0" applyAlignment="1" pivotButton="0" quotePrefix="0" xfId="0">
      <alignment vertical="top" wrapText="1"/>
    </xf>
    <xf numFmtId="0" fontId="78" fillId="15" borderId="0" applyAlignment="1" pivotButton="0" quotePrefix="0" xfId="0">
      <alignment vertical="top" wrapText="1"/>
    </xf>
    <xf numFmtId="0" fontId="79" fillId="0" borderId="0" applyAlignment="1" pivotButton="0" quotePrefix="0" xfId="0">
      <alignment vertical="top" wrapText="1"/>
    </xf>
    <xf numFmtId="0" fontId="80" fillId="0" borderId="0" applyAlignment="1" pivotButton="0" quotePrefix="0" xfId="0">
      <alignment vertical="top" wrapText="1"/>
    </xf>
    <xf numFmtId="0" fontId="81" fillId="0" borderId="0" applyAlignment="1" pivotButton="0" quotePrefix="0" xfId="0">
      <alignment vertical="top" wrapText="1"/>
    </xf>
    <xf numFmtId="0" fontId="77" fillId="13" borderId="0" applyAlignment="1" pivotButton="0" quotePrefix="0" xfId="0">
      <alignment vertical="center" wrapText="1"/>
    </xf>
    <xf numFmtId="0" fontId="81" fillId="16" borderId="0" pivotButton="0" quotePrefix="0" xfId="0"/>
    <xf numFmtId="0" fontId="0" fillId="16" borderId="0" pivotButton="0" quotePrefix="0" xfId="0"/>
    <xf numFmtId="0" fontId="78" fillId="15" borderId="3" applyAlignment="1" pivotButton="0" quotePrefix="0" xfId="0">
      <alignment vertical="top" wrapText="1"/>
    </xf>
    <xf numFmtId="0" fontId="82" fillId="15" borderId="3" applyAlignment="1" pivotButton="0" quotePrefix="0" xfId="0">
      <alignment vertical="top" wrapText="1"/>
    </xf>
    <xf numFmtId="0" fontId="81" fillId="15" borderId="3" applyAlignment="1" pivotButton="0" quotePrefix="0" xfId="0">
      <alignment horizontal="center" vertical="top"/>
    </xf>
    <xf numFmtId="0" fontId="78" fillId="0" borderId="3" applyAlignment="1" pivotButton="0" quotePrefix="0" xfId="0">
      <alignment vertical="top" wrapText="1"/>
    </xf>
    <xf numFmtId="9" fontId="78" fillId="0" borderId="3" applyAlignment="1" pivotButton="0" quotePrefix="0" xfId="0">
      <alignment vertical="top" wrapText="1"/>
    </xf>
    <xf numFmtId="0" fontId="86" fillId="14" borderId="3" applyAlignment="1" pivotButton="0" quotePrefix="0" xfId="0">
      <alignment vertical="top" wrapText="1"/>
    </xf>
    <xf numFmtId="49" fontId="86" fillId="14" borderId="3" applyAlignment="1" pivotButton="0" quotePrefix="0" xfId="0">
      <alignment vertical="top" wrapText="1"/>
    </xf>
    <xf numFmtId="3" fontId="86" fillId="14" borderId="3" applyAlignment="1" pivotButton="0" quotePrefix="0" xfId="0">
      <alignment vertical="top" wrapText="1"/>
    </xf>
    <xf numFmtId="164" fontId="86" fillId="14" borderId="3" applyAlignment="1" pivotButton="0" quotePrefix="0" xfId="0">
      <alignment vertical="top" wrapText="1"/>
    </xf>
    <xf numFmtId="165" fontId="86" fillId="14" borderId="3" applyAlignment="1" pivotButton="0" quotePrefix="0" xfId="0">
      <alignment vertical="top" wrapText="1"/>
    </xf>
    <xf numFmtId="0" fontId="84" fillId="0" borderId="0" pivotButton="0" quotePrefix="0" xfId="0"/>
    <xf numFmtId="0" fontId="85" fillId="0" borderId="0" pivotButton="0" quotePrefix="0" xfId="0"/>
    <xf numFmtId="0" fontId="78" fillId="0" borderId="3" pivotButton="0" quotePrefix="0" xfId="0"/>
    <xf numFmtId="9" fontId="78" fillId="0" borderId="3" pivotButton="0" quotePrefix="0" xfId="0"/>
    <xf numFmtId="0" fontId="81" fillId="0" borderId="3" pivotButton="0" quotePrefix="0" xfId="0"/>
    <xf numFmtId="9" fontId="81" fillId="0" borderId="3" pivotButton="0" quotePrefix="0" xfId="0"/>
    <xf numFmtId="0" fontId="77" fillId="13" borderId="0" pivotButton="0" quotePrefix="0" xfId="0"/>
    <xf numFmtId="0" fontId="81" fillId="0" borderId="0" pivotButton="0" quotePrefix="0" xfId="0"/>
    <xf numFmtId="0" fontId="87" fillId="14" borderId="3" applyAlignment="1" pivotButton="0" quotePrefix="0" xfId="0">
      <alignment vertical="top" wrapText="1"/>
    </xf>
    <xf numFmtId="0" fontId="88" fillId="17" borderId="1" applyAlignment="1" pivotButton="0" quotePrefix="0" xfId="0">
      <alignment horizontal="center" vertical="center" wrapText="1"/>
    </xf>
    <xf numFmtId="0" fontId="88" fillId="18" borderId="1" applyAlignment="1" pivotButton="0" quotePrefix="0" xfId="0">
      <alignment horizontal="center" vertical="center" wrapText="1"/>
    </xf>
    <xf numFmtId="0" fontId="88" fillId="19" borderId="1" applyAlignment="1" pivotButton="0" quotePrefix="0" xfId="0">
      <alignment horizontal="center" vertical="center" wrapText="1"/>
    </xf>
    <xf numFmtId="0" fontId="88" fillId="20" borderId="1" applyAlignment="1" pivotButton="0" quotePrefix="0" xfId="0">
      <alignment horizontal="center" vertical="center" wrapText="1"/>
    </xf>
    <xf numFmtId="0" fontId="89" fillId="0" borderId="0" pivotButton="0" quotePrefix="0" xfId="0"/>
    <xf numFmtId="0" fontId="90" fillId="0" borderId="0" pivotButton="0" quotePrefix="0" xfId="0"/>
    <xf numFmtId="0" fontId="91" fillId="21" borderId="4" applyAlignment="1" pivotButton="0" quotePrefix="0" xfId="0">
      <alignment horizontal="center" vertical="center" wrapText="1"/>
    </xf>
    <xf numFmtId="0" fontId="92" fillId="0" borderId="4" applyAlignment="1" pivotButton="0" quotePrefix="0" xfId="0">
      <alignment vertical="top" wrapText="1"/>
    </xf>
    <xf numFmtId="0" fontId="92" fillId="17" borderId="4" applyAlignment="1" pivotButton="0" quotePrefix="0" xfId="0">
      <alignment vertical="top" wrapText="1"/>
    </xf>
    <xf numFmtId="0" fontId="92" fillId="18" borderId="4" applyAlignment="1" pivotButton="0" quotePrefix="0" xfId="0">
      <alignment vertical="top" wrapText="1"/>
    </xf>
    <xf numFmtId="0" fontId="92" fillId="19" borderId="4" applyAlignment="1" pivotButton="0" quotePrefix="0" xfId="0">
      <alignment vertical="top" wrapText="1"/>
    </xf>
    <xf numFmtId="0" fontId="92" fillId="20" borderId="4" applyAlignment="1" pivotButton="0" quotePrefix="0" xfId="0">
      <alignment vertical="top" wrapText="1"/>
    </xf>
    <xf numFmtId="0" fontId="92" fillId="22" borderId="4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00D9F2E6"/>
        </patternFill>
      </fill>
    </dxf>
    <dxf>
      <fill>
        <patternFill patternType="solid">
          <fgColor rgb="00DCE7F7"/>
        </patternFill>
      </fill>
    </dxf>
    <dxf>
      <fill>
        <patternFill patternType="solid">
          <fgColor rgb="00FCEBCF"/>
        </patternFill>
      </fill>
    </dxf>
    <dxf>
      <fill>
        <patternFill patternType="solid">
          <fgColor rgb="00F8DCDA"/>
        </patternFill>
      </fill>
    </dxf>
    <dxf>
      <fill>
        <patternFill patternType="solid">
          <fgColor rgb="00E9E0F7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CEFF3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632E"/>
      <rgbColor rgb="FFBFBFBF"/>
      <rgbColor rgb="FF7F7F7F"/>
      <rgbColor rgb="FF9999FF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FBE4E4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3864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2" activeCellId="0" sqref="B2"/>
    </sheetView>
  </sheetViews>
  <sheetFormatPr baseColWidth="8" defaultColWidth="8.71484375" defaultRowHeight="15" zeroHeight="0" outlineLevelRow="0"/>
  <cols>
    <col width="31.29" customWidth="1" style="143" min="1" max="1"/>
    <col width="17" customWidth="1" style="143" min="2" max="8"/>
  </cols>
  <sheetData>
    <row r="1" ht="30" customHeight="1" s="144">
      <c r="A1" s="145" t="inlineStr">
        <is>
          <t>자료 요청 서식</t>
        </is>
      </c>
    </row>
    <row r="2" ht="30" customHeight="1" s="144"/>
    <row r="3" ht="30" customHeight="1" s="144">
      <c r="A3" s="146" t="n"/>
      <c r="B3" s="147" t="n"/>
    </row>
    <row r="4" ht="30" customHeight="1" s="144">
      <c r="A4" s="148" t="inlineStr">
        <is>
          <t>한 줄 요약</t>
        </is>
      </c>
      <c r="B4" s="149" t="inlineStr">
        <is>
          <t>비용은 '총액'으로, 인원은 '몇 명'으로 적어 주시면 됩니다. 1인당 금액은 저희가 나눠서 계산합니다.</t>
        </is>
      </c>
    </row>
    <row r="5" ht="30" customHeight="1" s="144">
      <c r="A5" s="146" t="n"/>
      <c r="B5" s="147" t="n"/>
    </row>
    <row r="6" ht="30" customHeight="1" s="144">
      <c r="A6" s="148" t="inlineStr">
        <is>
          <t>작성 원칙 세 가지</t>
        </is>
      </c>
      <c r="B6" s="147" t="n"/>
    </row>
    <row r="7" ht="30" customHeight="1" s="144">
      <c r="A7" s="146" t="inlineStr">
        <is>
          <t>1</t>
        </is>
      </c>
      <c r="B7" s="147" t="inlineStr">
        <is>
          <t>1인당 금액을 계산해 주지 않으셔도 됩니다.  예를 들어 '1일 급식단가'가 아니라 '급식비 집행액'과 '1일 평균 수용인원'을 각각 적어 주십시오.</t>
        </is>
      </c>
    </row>
    <row r="8" ht="30" customHeight="1" s="144">
      <c r="A8" s="146" t="inlineStr">
        <is>
          <t>2</t>
        </is>
      </c>
      <c r="B8" s="150" t="inlineStr">
        <is>
          <t>이미 있는 자료를 그대로 보내주셔도 됩니다.  결산서, 사업설명자료, 운영실적 보고, 교정통계연보 발췌 등 보유 형태 그대로도 좋습니다.</t>
        </is>
      </c>
    </row>
    <row r="9" ht="30" customHeight="1" s="144">
      <c r="A9" s="146" t="inlineStr">
        <is>
          <t>3</t>
        </is>
      </c>
      <c r="B9" s="150" t="inlineStr">
        <is>
          <t>없는 항목은 비워 두시고 사유만 적어 주십시오.  각 시트 맨 아래에 사유 칸을 두었습니다. 전부 채우지 못하셔도 됩니다.</t>
        </is>
      </c>
    </row>
    <row r="10" ht="30" customHeight="1" s="144">
      <c r="A10" s="146" t="n"/>
      <c r="B10" s="147" t="n"/>
    </row>
    <row r="11" ht="30" customHeight="1" s="144">
      <c r="A11" s="148" t="inlineStr">
        <is>
          <t>시트 보는 법</t>
        </is>
      </c>
      <c r="B11" s="147" t="n"/>
    </row>
    <row r="12" ht="30" customHeight="1" s="144">
      <c r="A12" s="151" t="inlineStr">
        <is>
          <t>흰 칸</t>
        </is>
      </c>
      <c r="B12" s="150" t="inlineStr">
        <is>
          <t>적어 주실 칸입니다.</t>
        </is>
      </c>
    </row>
    <row r="13" ht="30" customHeight="1" s="144">
      <c r="A13" s="151" t="inlineStr">
        <is>
          <t>회색 칸 (맨 오른쪽 '비고')</t>
        </is>
      </c>
      <c r="B13" s="150" t="inlineStr">
        <is>
          <t>저희 연구 모델에서 그 자료가 어느 변수로 쓰이는지 표시한 것입니다. 담당자님께서 손대실 필요 없습니다.</t>
        </is>
      </c>
    </row>
    <row r="14" ht="30" customHeight="1" s="144">
      <c r="A14" s="151" t="inlineStr">
        <is>
          <t>노란 칸</t>
        </is>
      </c>
      <c r="B14" s="150" t="inlineStr">
        <is>
          <t>이해를 돕기 위한 예시입니다. 지우고 쓰셔도 되고 그대로 두셔도 됩니다.</t>
        </is>
      </c>
    </row>
    <row r="15" ht="30" customHeight="1" s="144">
      <c r="A15" s="151" t="inlineStr">
        <is>
          <t>빨간 글씨</t>
        </is>
      </c>
      <c r="B15" s="150" t="inlineStr">
        <is>
          <t>특히 유의해 주실 점입니다.</t>
        </is>
      </c>
    </row>
    <row r="16" ht="30" customHeight="1" s="144">
      <c r="A16" s="146" t="n"/>
      <c r="B16" s="147" t="n"/>
    </row>
    <row r="17" ht="30" customHeight="1" s="144">
      <c r="A17" s="148" t="inlineStr">
        <is>
          <t>가장 먼저 부탁드리는 세 가지</t>
        </is>
      </c>
      <c r="B17" s="150" t="inlineStr">
        <is>
          <t>서식 9 (이수 여부별 재복역 교차표) · 서식 4 (재활교육 운영실적) · 서식 6 (재활 예산 집행내역)</t>
        </is>
      </c>
    </row>
    <row r="18" ht="30" customHeight="1" s="144">
      <c r="A18" s="146" t="n"/>
      <c r="B18" s="150" t="inlineStr">
        <is>
          <t>이 셋이 없으면 분석 자체가 성립하지 않습니다. 나머지가 늦어져도 이 셋은 부탁드립니다.</t>
        </is>
      </c>
    </row>
    <row r="19" ht="30" customHeight="1" s="144">
      <c r="A19" s="146" t="n"/>
      <c r="B19" s="147" t="n"/>
    </row>
  </sheetData>
  <mergeCells count="18">
    <mergeCell ref="B14:H14"/>
    <mergeCell ref="B8:H8"/>
    <mergeCell ref="B17:H17"/>
    <mergeCell ref="B9:H9"/>
    <mergeCell ref="B13:H13"/>
    <mergeCell ref="B18:H18"/>
    <mergeCell ref="B4:H4"/>
    <mergeCell ref="B5:H5"/>
    <mergeCell ref="B12:H12"/>
    <mergeCell ref="B6:H6"/>
    <mergeCell ref="B16:H16"/>
    <mergeCell ref="B15:H15"/>
    <mergeCell ref="B7:H7"/>
    <mergeCell ref="A1:H1"/>
    <mergeCell ref="B10:H10"/>
    <mergeCell ref="B3:H3"/>
    <mergeCell ref="B19:H19"/>
    <mergeCell ref="B11:H11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I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3" activeCellId="0" sqref="A3"/>
    </sheetView>
  </sheetViews>
  <sheetFormatPr baseColWidth="8" defaultColWidth="8.71484375" defaultRowHeight="15" zeroHeight="0" outlineLevelRow="0"/>
  <cols>
    <col width="6" customWidth="1" style="143" min="1" max="1"/>
    <col width="26" customWidth="1" style="143" min="2" max="2"/>
    <col width="40" customWidth="1" style="143" min="3" max="3"/>
    <col width="16" customWidth="1" style="143" min="4" max="4"/>
    <col width="20" customWidth="1" style="143" min="5" max="5"/>
    <col width="10" customWidth="1" style="143" min="6" max="6"/>
    <col width="12" customWidth="1" style="143" min="7" max="7"/>
    <col width="34" customWidth="1" style="143" min="8" max="8"/>
  </cols>
  <sheetData>
    <row r="1" ht="19.5" customHeight="1" s="144">
      <c r="A1" s="152" t="inlineStr">
        <is>
          <t>요청표 — 한눈에 보기</t>
        </is>
      </c>
    </row>
    <row r="2" ht="15" customHeight="1" s="144">
      <c r="A2" s="153" t="inlineStr">
        <is>
          <t>총 13건. 2026-10-21 기준: 완료 1, 부분 6, 미회신 5, 문헌 대체 1. 상세는 「취합현황」 시트(자동 생성), 계산은 「원단위계산」 시트.</t>
        </is>
      </c>
    </row>
    <row r="4" ht="33.75" customHeight="1" s="144">
      <c r="A4" s="154" t="inlineStr">
        <is>
          <t>번호</t>
        </is>
      </c>
      <c r="B4" s="154" t="inlineStr">
        <is>
          <t>요청 자료</t>
        </is>
      </c>
      <c r="C4" s="154" t="inlineStr">
        <is>
          <t>왜 필요한가 (한 줄)</t>
        </is>
      </c>
      <c r="D4" s="154" t="inlineStr">
        <is>
          <t>작성할 시트</t>
        </is>
      </c>
      <c r="E4" s="154" t="inlineStr">
        <is>
          <t>예상 소관</t>
        </is>
      </c>
      <c r="F4" s="154" t="inlineStr">
        <is>
          <t>중요도</t>
        </is>
      </c>
      <c r="G4" s="154" t="inlineStr">
        <is>
          <t>진행 상태</t>
        </is>
      </c>
      <c r="H4" s="154" t="inlineStr">
        <is>
          <t>이 자료로 채우는 모델 KEY</t>
        </is>
      </c>
    </row>
    <row r="5" ht="31.5" customHeight="1" s="144">
      <c r="A5" s="155" t="inlineStr">
        <is>
          <t>1</t>
        </is>
      </c>
      <c r="B5" s="156" t="inlineStr">
        <is>
          <t>교정 분야 세출예산 집행내역</t>
        </is>
      </c>
      <c r="C5" s="156" t="inlineStr">
        <is>
          <t>수용자 1인당 원가를 계산할 때 나눗셈의 '위쪽'(총액)이 됩니다.</t>
        </is>
      </c>
      <c r="D5" s="157" t="inlineStr">
        <is>
          <t>서식 1</t>
        </is>
      </c>
      <c r="E5" s="157" t="inlineStr">
        <is>
          <t>교정본부 복지과</t>
        </is>
      </c>
      <c r="F5" s="157" t="inlineStr">
        <is>
          <t>높음</t>
        </is>
      </c>
      <c r="G5" s="314" t="inlineStr">
        <is>
          <t>부분 (8/10)</t>
        </is>
      </c>
      <c r="H5" s="159" t="inlineStr">
        <is>
          <t>IN-C-02~11, PG-C-01</t>
        </is>
      </c>
    </row>
    <row r="6" ht="31.5" customHeight="1" s="144">
      <c r="A6" s="155" t="inlineStr">
        <is>
          <t>2</t>
        </is>
      </c>
      <c r="B6" s="156" t="inlineStr">
        <is>
          <t>수용인원 현황</t>
        </is>
      </c>
      <c r="C6" s="156" t="inlineStr">
        <is>
          <t>위 총액을 나눌 '아래쪽'(인원)입니다. 이게 없으면 1인당 금액이 안 나옵니다.</t>
        </is>
      </c>
      <c r="D6" s="157" t="inlineStr">
        <is>
          <t>서식 2</t>
        </is>
      </c>
      <c r="E6" s="157" t="inlineStr">
        <is>
          <t>교정본부 보안과</t>
        </is>
      </c>
      <c r="F6" s="157" t="inlineStr">
        <is>
          <t>높음</t>
        </is>
      </c>
      <c r="G6" s="314" t="inlineStr">
        <is>
          <t>부분 (5/6)</t>
        </is>
      </c>
      <c r="H6" s="159" t="inlineStr">
        <is>
          <t>IN-N-01·02·03·07·08</t>
        </is>
      </c>
    </row>
    <row r="7" ht="31.5" customHeight="1" s="144">
      <c r="A7" s="155" t="inlineStr">
        <is>
          <t>3</t>
        </is>
      </c>
      <c r="B7" s="156" t="inlineStr">
        <is>
          <t>마약류사범 수용현황</t>
        </is>
      </c>
      <c r="C7" s="156" t="inlineStr">
        <is>
          <t>전체 수용자가 아니라 마약류사범 기준으로 계산하기 위해 필요합니다.</t>
        </is>
      </c>
      <c r="D7" s="157" t="inlineStr">
        <is>
          <t>서식 3</t>
        </is>
      </c>
      <c r="E7" s="157" t="inlineStr">
        <is>
          <t>교정본부 보안과</t>
        </is>
      </c>
      <c r="F7" s="157" t="inlineStr">
        <is>
          <t>높음</t>
        </is>
      </c>
      <c r="G7" s="315" t="inlineStr">
        <is>
          <t>미회신 (0/9)</t>
        </is>
      </c>
      <c r="H7" s="159" t="inlineStr">
        <is>
          <t>IN-N-04·05·06·08</t>
        </is>
      </c>
    </row>
    <row r="8" ht="31.5" customHeight="1" s="144">
      <c r="A8" s="161" t="inlineStr">
        <is>
          <t>4</t>
        </is>
      </c>
      <c r="B8" s="162" t="inlineStr">
        <is>
          <t>마약사범 재활교육 운영실적</t>
        </is>
      </c>
      <c r="C8" s="163" t="inlineStr">
        <is>
          <t>재활 프로그램 1인당 비용의 '아래쪽'(인원)이자 효과 분석의 대상 규모입니다.</t>
        </is>
      </c>
      <c r="D8" s="164" t="inlineStr">
        <is>
          <t>서식 4</t>
        </is>
      </c>
      <c r="E8" s="164" t="inlineStr">
        <is>
          <t>마약사범재활팀</t>
        </is>
      </c>
      <c r="F8" s="165" t="inlineStr">
        <is>
          <t>가장 높음</t>
        </is>
      </c>
      <c r="G8" s="314" t="inlineStr">
        <is>
          <t>부분 (이수만)</t>
        </is>
      </c>
      <c r="H8" s="159" t="inlineStr">
        <is>
          <t>PG-N-01·02·03, PG-D-01</t>
        </is>
      </c>
    </row>
    <row r="9" ht="31.5" customHeight="1" s="144">
      <c r="A9" s="155" t="inlineStr">
        <is>
          <t>5</t>
        </is>
      </c>
      <c r="B9" s="156" t="inlineStr">
        <is>
          <t>재활 전담인력 현황</t>
        </is>
      </c>
      <c r="C9" s="156" t="inlineStr">
        <is>
          <t>인건비 중 얼마를 재활 프로그램 비용으로 볼지 정하는 데 씁니다.</t>
        </is>
      </c>
      <c r="D9" s="157" t="inlineStr">
        <is>
          <t>서식 5</t>
        </is>
      </c>
      <c r="E9" s="157" t="inlineStr">
        <is>
          <t>마약사범재활팀</t>
        </is>
      </c>
      <c r="F9" s="157" t="inlineStr">
        <is>
          <t>보통</t>
        </is>
      </c>
      <c r="G9" s="316" t="inlineStr">
        <is>
          <t>완료 (4/4 기관)</t>
        </is>
      </c>
      <c r="H9" s="159" t="inlineStr">
        <is>
          <t>PG-C-04, PG-D-02</t>
        </is>
      </c>
    </row>
    <row r="10" ht="31.5" customHeight="1" s="144">
      <c r="A10" s="161" t="inlineStr">
        <is>
          <t>6</t>
        </is>
      </c>
      <c r="B10" s="162" t="inlineStr">
        <is>
          <t>마약사범 재활 예산 집행내역</t>
        </is>
      </c>
      <c r="C10" s="163" t="inlineStr">
        <is>
          <t>재활 프로그램 1인당 비용의 '위쪽'(총액)입니다.</t>
        </is>
      </c>
      <c r="D10" s="164" t="inlineStr">
        <is>
          <t>서식 6</t>
        </is>
      </c>
      <c r="E10" s="164" t="inlineStr">
        <is>
          <t>교정본부 복지과</t>
        </is>
      </c>
      <c r="F10" s="165" t="inlineStr">
        <is>
          <t>가장 높음</t>
        </is>
      </c>
      <c r="G10" s="314" t="inlineStr">
        <is>
          <t>부분 (총액만)</t>
        </is>
      </c>
      <c r="H10" s="159" t="inlineStr">
        <is>
          <t>PG-C-02·03·05·06·07</t>
        </is>
      </c>
    </row>
    <row r="11" ht="31.5" customHeight="1" s="144">
      <c r="A11" s="155" t="inlineStr">
        <is>
          <t>7</t>
        </is>
      </c>
      <c r="B11" s="156" t="inlineStr">
        <is>
          <t>의료·약물검사 실적 및 비용</t>
        </is>
      </c>
      <c r="C11" s="156" t="inlineStr">
        <is>
          <t>중독자에 대한 치료개입 1인당 비용을 계산합니다.</t>
        </is>
      </c>
      <c r="D11" s="157" t="inlineStr">
        <is>
          <t>서식 7</t>
        </is>
      </c>
      <c r="E11" s="157" t="inlineStr">
        <is>
          <t>교정본부 의료과</t>
        </is>
      </c>
      <c r="F11" s="157" t="inlineStr">
        <is>
          <t>보통</t>
        </is>
      </c>
      <c r="G11" s="314" t="inlineStr">
        <is>
          <t>부분 (4/13)</t>
        </is>
      </c>
      <c r="H11" s="159" t="inlineStr">
        <is>
          <t>TX-C-01~07, TX-N-01~04</t>
        </is>
      </c>
    </row>
    <row r="12" ht="31.5" customHeight="1" s="144">
      <c r="A12" s="155" t="inlineStr">
        <is>
          <t>8</t>
        </is>
      </c>
      <c r="B12" s="156" t="inlineStr">
        <is>
          <t>출소 및 재복역 현황</t>
        </is>
      </c>
      <c r="C12" s="156" t="inlineStr">
        <is>
          <t>재범이 원래 얼마나 일어나는지(기준선)를 확인합니다.</t>
        </is>
      </c>
      <c r="D12" s="157" t="inlineStr">
        <is>
          <t>서식 8</t>
        </is>
      </c>
      <c r="E12" s="157" t="inlineStr">
        <is>
          <t>마약사범재활팀</t>
        </is>
      </c>
      <c r="F12" s="157" t="inlineStr">
        <is>
          <t>높음</t>
        </is>
      </c>
      <c r="G12" s="315" t="inlineStr">
        <is>
          <t>미회신 (0/6)</t>
        </is>
      </c>
      <c r="H12" s="159" t="inlineStr">
        <is>
          <t>OC-01·02·05</t>
        </is>
      </c>
    </row>
    <row r="13" ht="31.5" customHeight="1" s="144">
      <c r="A13" s="161" t="inlineStr">
        <is>
          <t>9</t>
        </is>
      </c>
      <c r="B13" s="162" t="inlineStr">
        <is>
          <t>재활교육 이수 여부별 재복역 교차표</t>
        </is>
      </c>
      <c r="C13" s="163" t="inlineStr">
        <is>
          <t>재활교육이 재범을 얼마나 줄이는지 계산합니다. 13건 중 가장 중요합니다.</t>
        </is>
      </c>
      <c r="D13" s="164" t="inlineStr">
        <is>
          <t>서식 9</t>
        </is>
      </c>
      <c r="E13" s="164" t="inlineStr">
        <is>
          <t>마약사범재활팀</t>
        </is>
      </c>
      <c r="F13" s="165" t="inlineStr">
        <is>
          <t>가장 높음</t>
        </is>
      </c>
      <c r="G13" s="317" t="inlineStr">
        <is>
          <t>문헌 대체 (문헌)</t>
        </is>
      </c>
      <c r="H13" s="159" t="inlineStr">
        <is>
          <t>OC-03 → Δr, r0</t>
        </is>
      </c>
    </row>
    <row r="14" ht="31.5" customHeight="1" s="144">
      <c r="A14" s="155" t="inlineStr">
        <is>
          <t>10</t>
        </is>
      </c>
      <c r="B14" s="156" t="inlineStr">
        <is>
          <t>이수·미이수 집단의 인적 특성</t>
        </is>
      </c>
      <c r="C14" s="156" t="inlineStr">
        <is>
          <t>두 집단이 원래 비슷한 사람들이었는지 확인합니다.</t>
        </is>
      </c>
      <c r="D14" s="157" t="inlineStr">
        <is>
          <t>서식 10</t>
        </is>
      </c>
      <c r="E14" s="157" t="inlineStr">
        <is>
          <t>마약사범재활팀</t>
        </is>
      </c>
      <c r="F14" s="157" t="inlineStr">
        <is>
          <t>보통</t>
        </is>
      </c>
      <c r="G14" s="315" t="inlineStr">
        <is>
          <t>미회신 (0/6)</t>
        </is>
      </c>
      <c r="H14" s="159" t="inlineStr">
        <is>
          <t>OC-04</t>
        </is>
      </c>
    </row>
    <row r="15" ht="31.5" customHeight="1" s="144">
      <c r="A15" s="155" t="inlineStr">
        <is>
          <t>11</t>
        </is>
      </c>
      <c r="B15" s="156" t="inlineStr">
        <is>
          <t>통계 산출기준 정의서</t>
        </is>
      </c>
      <c r="C15" s="156" t="inlineStr">
        <is>
          <t>같은 '인원'이라도 정의가 다르면 1인당 금액이 달라집니다. 짧은 설명이면 충분합니다.</t>
        </is>
      </c>
      <c r="D15" s="157" t="inlineStr">
        <is>
          <t>서식 11</t>
        </is>
      </c>
      <c r="E15" s="157" t="inlineStr">
        <is>
          <t>각 소관과</t>
        </is>
      </c>
      <c r="F15" s="157" t="inlineStr">
        <is>
          <t>높음</t>
        </is>
      </c>
      <c r="G15" s="315" t="inlineStr">
        <is>
          <t>미회신 (0/6)</t>
        </is>
      </c>
      <c r="H15" s="159" t="inlineStr">
        <is>
          <t>MT-04</t>
        </is>
      </c>
    </row>
    <row r="16" ht="31.5" customHeight="1" s="144">
      <c r="A16" s="155" t="inlineStr">
        <is>
          <t>12</t>
        </is>
      </c>
      <c r="B16" s="156" t="inlineStr">
        <is>
          <t>교정통계연보 통계표 목록</t>
        </is>
      </c>
      <c r="C16" s="156" t="inlineStr">
        <is>
          <t>이미 공표된 자료로 갈음할 항목을 저희가 골라내기 위해서입니다.</t>
        </is>
      </c>
      <c r="D16" s="157" t="inlineStr">
        <is>
          <t>서식 12</t>
        </is>
      </c>
      <c r="E16" s="157" t="inlineStr">
        <is>
          <t>교정기획과</t>
        </is>
      </c>
      <c r="F16" s="157" t="inlineStr">
        <is>
          <t>높음</t>
        </is>
      </c>
      <c r="G16" s="315" t="inlineStr">
        <is>
          <t>미회신 (시트 없음)</t>
        </is>
      </c>
      <c r="H16" s="159" t="inlineStr">
        <is>
          <t>MT-06</t>
        </is>
      </c>
    </row>
    <row r="17" ht="31.5" customHeight="1" s="144">
      <c r="A17" s="167" t="inlineStr">
        <is>
          <t>별도</t>
        </is>
      </c>
      <c r="B17" s="162" t="inlineStr">
        <is>
          <t>치료보호·보호관찰 예산 및 인원</t>
        </is>
      </c>
      <c r="C17" s="163" t="inlineStr">
        <is>
          <t>출소 후 사후관리 비용입니다. 교정본부 소관이 아니라 별도 요청이 필요합니다.</t>
        </is>
      </c>
      <c r="D17" s="164" t="inlineStr">
        <is>
          <t>별도요청</t>
        </is>
      </c>
      <c r="E17" s="164" t="inlineStr">
        <is>
          <t>복지부·범죄예방정책국·치료처우과</t>
        </is>
      </c>
      <c r="F17" s="165" t="inlineStr">
        <is>
          <t>가장 높음</t>
        </is>
      </c>
      <c r="G17" s="314" t="inlineStr">
        <is>
          <t>부분 (4/9)</t>
        </is>
      </c>
      <c r="H17" s="159" t="inlineStr">
        <is>
          <t>CU-C-01·03, CU-N-01·02</t>
        </is>
      </c>
    </row>
    <row r="19" ht="15" customHeight="1" s="144">
      <c r="A19" s="168" t="inlineStr">
        <is>
          <t>※ '이 자료로 채우는 모델 KEY'는 연구진이 쓰는 내부 식별자입니다. 담당자께서 신경 쓰지 않으셔도 되며, 각 서식의 맨 오른쪽 비고란에도 같은 값을 적어 두었습니다.</t>
        </is>
      </c>
    </row>
  </sheetData>
  <mergeCells count="2">
    <mergeCell ref="A1:I1"/>
    <mergeCell ref="A2:I2"/>
  </mergeCells>
  <dataValidations count="1">
    <dataValidation sqref="G5:G17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8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style="144" min="1" max="1"/>
    <col width="22" customWidth="1" style="144" min="2" max="2"/>
    <col width="10" customWidth="1" style="144" min="3" max="3"/>
    <col width="9" customWidth="1" style="144" min="4" max="4"/>
    <col width="11" customWidth="1" style="144" min="5" max="5"/>
    <col width="44" customWidth="1" style="144" min="6" max="6"/>
    <col width="36" customWidth="1" style="144" min="7" max="7"/>
    <col width="20" customWidth="1" style="144" min="8" max="8"/>
    <col width="30" customWidth="1" style="144" min="9" max="9"/>
    <col width="34" customWidth="1" style="144" min="10" max="10"/>
    <col width="20" customWidth="1" style="144" min="11" max="11"/>
  </cols>
  <sheetData>
    <row r="1">
      <c r="A1" s="318" t="inlineStr">
        <is>
          <t>자료 요청 13건 취합 현황 (2026-10-21, v3)</t>
        </is>
      </c>
    </row>
    <row r="2">
      <c r="A2" s="319" t="inlineStr">
        <is>
          <t>이 시트는 data/dashboard.json에서 자동으로 만들어집니다. 여기서 고치지 말고 dashboard.json을 고치십시오. 상태: 완료 1 · 부분 6 · 미회신 5 · 문헌 대체 1</t>
        </is>
      </c>
    </row>
    <row r="4">
      <c r="A4" s="320" t="inlineStr">
        <is>
          <t>번호</t>
        </is>
      </c>
      <c r="B4" s="320" t="inlineStr">
        <is>
          <t>요청 자료</t>
        </is>
      </c>
      <c r="C4" s="320" t="inlineStr">
        <is>
          <t>상태</t>
        </is>
      </c>
      <c r="D4" s="320" t="inlineStr">
        <is>
          <t>회신 항목</t>
        </is>
      </c>
      <c r="E4" s="320" t="inlineStr">
        <is>
          <t>회신일</t>
        </is>
      </c>
      <c r="F4" s="320" t="inlineStr">
        <is>
          <t>받은 내용</t>
        </is>
      </c>
      <c r="G4" s="320" t="inlineStr">
        <is>
          <t>빠진 내용</t>
        </is>
      </c>
      <c r="H4" s="320" t="inlineStr">
        <is>
          <t>모델 반영</t>
        </is>
      </c>
      <c r="I4" s="320" t="inlineStr">
        <is>
          <t>비고</t>
        </is>
      </c>
      <c r="J4" s="320" t="inlineStr">
        <is>
          <t>진행 중</t>
        </is>
      </c>
      <c r="K4" s="320" t="inlineStr">
        <is>
          <t>소관</t>
        </is>
      </c>
    </row>
    <row r="5">
      <c r="A5" s="321" t="inlineStr">
        <is>
          <t>1</t>
        </is>
      </c>
      <c r="B5" s="321" t="inlineStr">
        <is>
          <t>교정 세출예산 집행내역</t>
        </is>
      </c>
      <c r="C5" s="322" t="inlineStr">
        <is>
          <t>부분</t>
        </is>
      </c>
      <c r="D5" s="321" t="inlineStr">
        <is>
          <t>8/10</t>
        </is>
      </c>
      <c r="E5" s="321" t="inlineStr">
        <is>
          <t>2026-09-07</t>
        </is>
      </c>
      <c r="F5" s="321" t="inlineStr">
        <is>
          <t>2025 집행액 8항목, 교도소 일반회계 총결산 1조 6,992억 원</t>
        </is>
      </c>
      <c r="G5" s="321" t="inlineStr">
        <is>
          <t>8번 교정시설 취득, 10번 교도작업특별회계</t>
        </is>
      </c>
      <c r="H5" s="321" t="inlineStr">
        <is>
          <t>UC-01·UC-02</t>
        </is>
      </c>
      <c r="I5" s="321" t="inlineStr">
        <is>
          <t>취득비가 빠져 UC-01은 하한</t>
        </is>
      </c>
      <c r="J5" s="321" t="inlineStr">
        <is>
          <t>두 항목 재요청, 총결산과 8항목 합의 차이(약 1,734억) 구성 문의</t>
        </is>
      </c>
      <c r="K5" s="321" t="inlineStr">
        <is>
          <t>교정본부 복지과</t>
        </is>
      </c>
    </row>
    <row r="6">
      <c r="A6" s="321" t="inlineStr">
        <is>
          <t>2</t>
        </is>
      </c>
      <c r="B6" s="321" t="inlineStr">
        <is>
          <t>수용인원 현황</t>
        </is>
      </c>
      <c r="C6" s="322" t="inlineStr">
        <is>
          <t>부분</t>
        </is>
      </c>
      <c r="D6" s="321" t="inlineStr">
        <is>
          <t>5/6</t>
        </is>
      </c>
      <c r="E6" s="321" t="inlineStr">
        <is>
          <t>2026-09-07</t>
        </is>
      </c>
      <c r="F6" s="321" t="inlineStr">
        <is>
          <t>1일 평균 63,680 · 정원 50,614 · 수용률 125.8% · 신입·출소 · 기관별 54개</t>
        </is>
      </c>
      <c r="G6" s="321" t="inlineStr">
        <is>
          <t>수용 연인원(연말 현원 64,626명이 대신 기재)</t>
        </is>
      </c>
      <c r="H6" s="321" t="inlineStr">
        <is>
          <t>UC-01 분모</t>
        </is>
      </c>
      <c r="I6" s="321" t="inlineStr">
        <is>
          <t>연인원은 1일 평균×365로 대체 가능</t>
        </is>
      </c>
      <c r="J6" s="321" t="inlineStr">
        <is>
          <t>연인원 정의 확인</t>
        </is>
      </c>
      <c r="K6" s="321" t="inlineStr">
        <is>
          <t>교정본부 보안과</t>
        </is>
      </c>
    </row>
    <row r="7">
      <c r="A7" s="321" t="inlineStr">
        <is>
          <t>3</t>
        </is>
      </c>
      <c r="B7" s="321" t="inlineStr">
        <is>
          <t>마약류사범 수용현황</t>
        </is>
      </c>
      <c r="C7" s="323" t="inlineStr">
        <is>
          <t>미회신</t>
        </is>
      </c>
      <c r="D7" s="321" t="inlineStr">
        <is>
          <t>0/9</t>
        </is>
      </c>
      <c r="E7" s="321" t="inlineStr">
        <is>
          <t>2026-09-07</t>
        </is>
      </c>
      <c r="F7" s="321" t="inlineStr">
        <is>
          <t>연말 현원 7,429명뿐(요청 항목 아님)</t>
        </is>
      </c>
      <c r="G7" s="321" t="inlineStr">
        <is>
          <t>1일 평균, 향정 구분, 연인원, 형기 분포, 신입·출소</t>
        </is>
      </c>
      <c r="H7" s="321" t="inlineStr">
        <is>
          <t>미반영</t>
        </is>
      </c>
      <c r="I7" s="321" t="inlineStr">
        <is>
          <t>사유: 공식 통계로 미집계</t>
        </is>
      </c>
      <c r="J7" s="321" t="inlineStr">
        <is>
          <t>교정통계연보 죄명별 표로 대체 검토</t>
        </is>
      </c>
      <c r="K7" s="321" t="inlineStr">
        <is>
          <t>교정본부 보안과</t>
        </is>
      </c>
    </row>
    <row r="8">
      <c r="A8" s="321" t="inlineStr">
        <is>
          <t>4</t>
        </is>
      </c>
      <c r="B8" s="321" t="inlineStr">
        <is>
          <t>재활교육 운영실적 ◆</t>
        </is>
      </c>
      <c r="C8" s="322" t="inlineStr">
        <is>
          <t>부분</t>
        </is>
      </c>
      <c r="D8" s="321" t="inlineStr">
        <is>
          <t>1/4</t>
        </is>
      </c>
      <c r="E8" s="321" t="inlineStr">
        <is>
          <t>2026-09-07</t>
        </is>
      </c>
      <c r="F8" s="321" t="inlineStr">
        <is>
          <t>2024~2026.7 과정별 이수 인원(전국 합계)</t>
        </is>
      </c>
      <c r="G8" s="321" t="inlineStr">
        <is>
          <t>기수, 개시, 중도탈락 인원·사유, 기관별 구분</t>
        </is>
      </c>
      <c r="H8" s="321" t="inlineStr">
        <is>
          <t>UC-07·UC-06 분모</t>
        </is>
      </c>
      <c r="I8" s="321" t="inlineStr">
        <is>
          <t>개시·탈락이 없어 1인당 원가는 과대 쪽</t>
        </is>
      </c>
      <c r="J8" s="321" t="inlineStr">
        <is>
          <t>중도탈락 인원 재요청</t>
        </is>
      </c>
      <c r="K8" s="321" t="inlineStr">
        <is>
          <t>마약사범재활팀</t>
        </is>
      </c>
    </row>
    <row r="9">
      <c r="A9" s="321" t="inlineStr">
        <is>
          <t>5</t>
        </is>
      </c>
      <c r="B9" s="321" t="inlineStr">
        <is>
          <t>재활 전담인력 현황</t>
        </is>
      </c>
      <c r="C9" s="324" t="inlineStr">
        <is>
          <t>완료</t>
        </is>
      </c>
      <c r="D9" s="321" t="inlineStr">
        <is>
          <t>4/4</t>
        </is>
      </c>
      <c r="E9" s="321" t="inlineStr">
        <is>
          <t>2026-09-07</t>
        </is>
      </c>
      <c r="F9" s="321" t="inlineStr">
        <is>
          <t>4개 과 각 11명, 직급 구성, 투입비율 64.0·68.2%</t>
        </is>
      </c>
      <c r="G9" s="321" t="inlineStr">
        <is>
          <t>-</t>
        </is>
      </c>
      <c r="H9" s="321" t="inlineStr">
        <is>
          <t>PG-C-04·PG-D-02</t>
        </is>
      </c>
      <c r="I9" s="321" t="inlineStr">
        <is>
          <t>2026 신설 조직을 2025 원가의 대리값으로 사용</t>
        </is>
      </c>
      <c r="J9" s="321" t="inlineStr"/>
      <c r="K9" s="321" t="inlineStr">
        <is>
          <t>마약사범재활팀</t>
        </is>
      </c>
    </row>
    <row r="10">
      <c r="A10" s="321" t="inlineStr">
        <is>
          <t>6</t>
        </is>
      </c>
      <c r="B10" s="321" t="inlineStr">
        <is>
          <t>재활 예산 집행내역 ◆</t>
        </is>
      </c>
      <c r="C10" s="322" t="inlineStr">
        <is>
          <t>부분</t>
        </is>
      </c>
      <c r="D10" s="321" t="inlineStr">
        <is>
          <t>0/8</t>
        </is>
      </c>
      <c r="E10" s="321" t="inlineStr">
        <is>
          <t>2026-09-07</t>
        </is>
      </c>
      <c r="F10" s="321" t="inlineStr">
        <is>
          <t>재활 관련 예산 총액 5,999,392,000원</t>
        </is>
      </c>
      <c r="G10" s="321" t="inlineStr">
        <is>
          <t>비목별 8항목 전부(산출 불가)</t>
        </is>
      </c>
      <c r="H10" s="321" t="inlineStr">
        <is>
          <t>PG 비용풀</t>
        </is>
      </c>
      <c r="I10" s="321" t="inlineStr">
        <is>
          <t>비목 구분은 교정교화 사업 내에서만 가능</t>
        </is>
      </c>
      <c r="J10" s="321" t="inlineStr">
        <is>
          <t>예산/집행 구분, 중독재활수용동 설치비 포함 여부 확인</t>
        </is>
      </c>
      <c r="K10" s="321" t="inlineStr">
        <is>
          <t>교정본부 복지과</t>
        </is>
      </c>
    </row>
    <row r="11">
      <c r="A11" s="321" t="inlineStr">
        <is>
          <t>7</t>
        </is>
      </c>
      <c r="B11" s="321" t="inlineStr">
        <is>
          <t>의료·약물검사 실적</t>
        </is>
      </c>
      <c r="C11" s="322" t="inlineStr">
        <is>
          <t>부분</t>
        </is>
      </c>
      <c r="D11" s="321" t="inlineStr">
        <is>
          <t>4/13</t>
        </is>
      </c>
      <c r="E11" s="321" t="inlineStr">
        <is>
          <t>2026-09-07</t>
        </is>
      </c>
      <c r="F11" s="321" t="inlineStr">
        <is>
          <t>2021~25 의료비 총액·건보 예탁금, 진료 건수, 외부진료 인원</t>
        </is>
      </c>
      <c r="G11" s="321" t="inlineStr">
        <is>
          <t>세부 의료비, 의료 인건비, 정신과 약제비, 약물검사, 치료개입 대상 인원(미생산)</t>
        </is>
      </c>
      <c r="H11" s="321" t="inlineStr">
        <is>
          <t>참고값만</t>
        </is>
      </c>
      <c r="I11" s="321" t="inlineStr">
        <is>
          <t>금액이 "원"으로 표기됐으나 천원으로 추정</t>
        </is>
      </c>
      <c r="J11" s="321" t="inlineStr">
        <is>
          <t>의료과에 단위 확인(최우선)</t>
        </is>
      </c>
      <c r="K11" s="321" t="inlineStr">
        <is>
          <t>교정본부 의료과</t>
        </is>
      </c>
    </row>
    <row r="12">
      <c r="A12" s="321" t="inlineStr">
        <is>
          <t>8</t>
        </is>
      </c>
      <c r="B12" s="321" t="inlineStr">
        <is>
          <t>출소 및 재복역 현황</t>
        </is>
      </c>
      <c r="C12" s="323" t="inlineStr">
        <is>
          <t>미회신</t>
        </is>
      </c>
      <c r="D12" s="321" t="inlineStr">
        <is>
          <t>0/6</t>
        </is>
      </c>
      <c r="E12" s="321" t="inlineStr">
        <is>
          <t>미회신</t>
        </is>
      </c>
      <c r="F12" s="321" t="inlineStr">
        <is>
          <t>-</t>
        </is>
      </c>
      <c r="G12" s="321" t="inlineStr">
        <is>
          <t>출소연도별 3년 내 재복역, 경과기간별 재복역</t>
        </is>
      </c>
      <c r="H12" s="321" t="inlineStr">
        <is>
          <t>hₜ 가정값 사용</t>
        </is>
      </c>
      <c r="I12" s="321" t="inlineStr">
        <is>
          <t>2024·25 출소자는 3년 추적이 불가능한 요청이었음</t>
        </is>
      </c>
      <c r="J12" s="321" t="inlineStr">
        <is>
          <t>2019~2022 출소 코호트로 범위 수정해 재요청</t>
        </is>
      </c>
      <c r="K12" s="321" t="inlineStr">
        <is>
          <t>마약사범재활팀</t>
        </is>
      </c>
    </row>
    <row r="13">
      <c r="A13" s="321" t="inlineStr">
        <is>
          <t>9</t>
        </is>
      </c>
      <c r="B13" s="321" t="inlineStr">
        <is>
          <t>이수별 재복역 교차표 ◆</t>
        </is>
      </c>
      <c r="C13" s="325" t="inlineStr">
        <is>
          <t>문헌 대체</t>
        </is>
      </c>
      <c r="D13" s="321" t="inlineStr">
        <is>
          <t>0/4</t>
        </is>
      </c>
      <c r="E13" s="321" t="inlineStr">
        <is>
          <t>미회신</t>
        </is>
      </c>
      <c r="F13" s="321" t="inlineStr">
        <is>
          <t>김도균·나종민(2025) 931명 표본(이수 439/재복역 178, 미이수 492/재복역 247)</t>
        </is>
      </c>
      <c r="G13" s="321" t="inlineStr">
        <is>
          <t>현행 4단계 과정 기준, 과정유형별 결과</t>
        </is>
      </c>
      <c r="H13" s="321" t="inlineStr">
        <is>
          <t>r0·Δr</t>
        </is>
      </c>
      <c r="I13" s="321" t="inlineStr">
        <is>
          <t>구 과정(16~134시간) 대상</t>
        </is>
      </c>
      <c r="J13" s="321" t="inlineStr">
        <is>
          <t>현행 과정 기준 교차표 요청(논문 제1저자가 마약사범재활팀)</t>
        </is>
      </c>
      <c r="K13" s="321" t="inlineStr">
        <is>
          <t>마약사범재활팀</t>
        </is>
      </c>
    </row>
    <row r="14">
      <c r="A14" s="321" t="inlineStr">
        <is>
          <t>10</t>
        </is>
      </c>
      <c r="B14" s="321" t="inlineStr">
        <is>
          <t>이수·미이수 인적특성</t>
        </is>
      </c>
      <c r="C14" s="323" t="inlineStr">
        <is>
          <t>미회신</t>
        </is>
      </c>
      <c r="D14" s="321" t="inlineStr">
        <is>
          <t>0/6</t>
        </is>
      </c>
      <c r="E14" s="321" t="inlineStr">
        <is>
          <t>미회신</t>
        </is>
      </c>
      <c r="F14" s="321" t="inlineStr">
        <is>
          <t>논문 전체 표본 기술통계만</t>
        </is>
      </c>
      <c r="G14" s="321" t="inlineStr">
        <is>
          <t>집단별 연령·형기·전과·징벌</t>
        </is>
      </c>
      <c r="H14" s="321" t="inlineStr">
        <is>
          <t>미반영</t>
        </is>
      </c>
      <c r="I14" s="321" t="inlineStr">
        <is>
          <t>집단 간 균형(SMD) 진단 불가</t>
        </is>
      </c>
      <c r="J14" s="321" t="inlineStr">
        <is>
          <t>서식 9와 함께 요청</t>
        </is>
      </c>
      <c r="K14" s="321" t="inlineStr">
        <is>
          <t>마약사범재활팀</t>
        </is>
      </c>
    </row>
    <row r="15">
      <c r="A15" s="321" t="inlineStr">
        <is>
          <t>11</t>
        </is>
      </c>
      <c r="B15" s="321" t="inlineStr">
        <is>
          <t>통계 산출기준 정의서</t>
        </is>
      </c>
      <c r="C15" s="323" t="inlineStr">
        <is>
          <t>미회신</t>
        </is>
      </c>
      <c r="D15" s="321" t="inlineStr">
        <is>
          <t>0/6</t>
        </is>
      </c>
      <c r="E15" s="321" t="inlineStr">
        <is>
          <t>미회신</t>
        </is>
      </c>
      <c r="F15" s="321" t="inlineStr">
        <is>
          <t>-</t>
        </is>
      </c>
      <c r="G15" s="321" t="inlineStr">
        <is>
          <t>1일 평균·연인원·이수 인원·재복역률 정의</t>
        </is>
      </c>
      <c r="H15" s="321" t="inlineStr">
        <is>
          <t>미반영</t>
        </is>
      </c>
      <c r="I15" s="321" t="inlineStr"/>
      <c r="J15" s="321" t="inlineStr">
        <is>
          <t>전화 확인으로 대체</t>
        </is>
      </c>
      <c r="K15" s="321" t="inlineStr">
        <is>
          <t>각 소관과</t>
        </is>
      </c>
    </row>
    <row r="16">
      <c r="A16" s="321" t="inlineStr">
        <is>
          <t>12</t>
        </is>
      </c>
      <c r="B16" s="321" t="inlineStr">
        <is>
          <t>교정통계연보 표목록</t>
        </is>
      </c>
      <c r="C16" s="323" t="inlineStr">
        <is>
          <t>미회신</t>
        </is>
      </c>
      <c r="D16" s="321" t="inlineStr">
        <is>
          <t>0/1</t>
        </is>
      </c>
      <c r="E16" s="321" t="inlineStr">
        <is>
          <t>미회신</t>
        </is>
      </c>
      <c r="F16" s="321" t="inlineStr">
        <is>
          <t>-</t>
        </is>
      </c>
      <c r="G16" s="321" t="inlineStr">
        <is>
          <t>표목록(서식 시트 자체가 파일에 없음)</t>
        </is>
      </c>
      <c r="H16" s="321" t="inlineStr">
        <is>
          <t>미반영</t>
        </is>
      </c>
      <c r="I16" s="321" t="inlineStr"/>
      <c r="J16" s="321" t="inlineStr">
        <is>
          <t>교정통계연보 2025 직접 확보</t>
        </is>
      </c>
      <c r="K16" s="321" t="inlineStr">
        <is>
          <t>교정기획과</t>
        </is>
      </c>
    </row>
    <row r="17">
      <c r="A17" s="321" t="inlineStr">
        <is>
          <t>별도</t>
        </is>
      </c>
      <c r="B17" s="321" t="inlineStr">
        <is>
          <t>치료보호·보호관찰</t>
        </is>
      </c>
      <c r="C17" s="322" t="inlineStr">
        <is>
          <t>부분</t>
        </is>
      </c>
      <c r="D17" s="321" t="inlineStr">
        <is>
          <t>4/9</t>
        </is>
      </c>
      <c r="E17" s="321" t="inlineStr">
        <is>
          <t>2026-09-29</t>
        </is>
      </c>
      <c r="F17" s="321" t="inlineStr">
        <is>
          <t>보호관찰 대상 3,675→5,391명, 치료명령 234→332명, 국립법무병원 결산 85.1→123.6억, 2호 24~31명</t>
        </is>
      </c>
      <c r="G17" s="321" t="inlineStr">
        <is>
          <t>복지부 치료보호 예산·집행·인원·기관(4항목), 보호관찰 예산(산출 불가)</t>
        </is>
      </c>
      <c r="H17" s="321" t="inlineStr">
        <is>
          <t>UC-12 미산출</t>
        </is>
      </c>
      <c r="I17" s="321" t="inlineStr">
        <is>
          <t>치료보호 인원은 범죄백서 표 3-82로 대체 가능</t>
        </is>
      </c>
      <c r="J17" s="321" t="inlineStr">
        <is>
          <t>복지부 공문 재발송</t>
        </is>
      </c>
      <c r="K17" s="321" t="inlineStr">
        <is>
          <t>복지부·범죄예방정책국·치료처우과</t>
        </is>
      </c>
    </row>
    <row r="18">
      <c r="A18" s="321" t="inlineStr">
        <is>
          <t>추가</t>
        </is>
      </c>
      <c r="B18" s="321" t="inlineStr">
        <is>
          <t>대검찰청 정보공개</t>
        </is>
      </c>
      <c r="C18" s="326" t="inlineStr">
        <is>
          <t>추가 반영</t>
        </is>
      </c>
      <c r="D18" s="321" t="inlineStr">
        <is>
          <t>-</t>
        </is>
      </c>
      <c r="E18" s="321" t="inlineStr">
        <is>
          <t>2026-10-07</t>
        </is>
      </c>
      <c r="F18" s="321" t="inlineStr">
        <is>
          <t>검찰 결산 2024 1조 2,163억, 형사 검거인원 1,405,185명, 마약류 검거인원</t>
        </is>
      </c>
      <c r="G18" s="321" t="inlineStr">
        <is>
          <t>2025 전체 형사사건</t>
        </is>
      </c>
      <c r="H18" s="321" t="inlineStr">
        <is>
          <t>SCᵣ 검찰 단계</t>
        </is>
      </c>
      <c r="I18" s="321" t="inlineStr"/>
      <c r="J18" s="321" t="inlineStr">
        <is>
          <t>같은 파일의 교정영역 질문지 회신 대기 여부 확인</t>
        </is>
      </c>
      <c r="K18" s="321" t="inlineStr">
        <is>
          <t>대검찰청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J1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2" customWidth="1" style="143" min="1" max="1"/>
    <col width="44" customWidth="1" style="143" min="2" max="2"/>
    <col width="18" customWidth="1" style="143" min="3" max="3"/>
    <col width="12" customWidth="1" style="143" min="4" max="4"/>
    <col width="62" customWidth="1" style="143" min="5" max="5"/>
    <col width="14" customWidth="1" style="143" min="6" max="10"/>
  </cols>
  <sheetData>
    <row r="1" ht="20.1" customHeight="1" s="144">
      <c r="A1" s="169" t="inlineStr">
        <is>
          <t>원단위·증분비용·손익분기 계산 (2025년 기준, 2026-10-21 취합본)</t>
        </is>
      </c>
    </row>
    <row r="2" ht="30" customHeight="1" s="144">
      <c r="A2" s="179" t="inlineStr">
        <is>
          <t>글자색: 파랑=직접 입력값(회신·문헌), 초록=다른 시트 연결, 검정=계산식. 노란 칸=연구진 가정(바꾸면 전체 재계산). 주황 칸=핵심 결과. UC-10(치료개입)·UC-12(사후관리)는 자료 미비로 0 처리 → ΔC는 하한값.</t>
        </is>
      </c>
    </row>
    <row r="4" ht="15" customHeight="1" s="144">
      <c r="A4" s="180" t="inlineStr">
        <is>
          <t>A. 투옥 원가중심점 (IN-C / IN-N) → UC-01 총원가, UC-02 변동원가</t>
        </is>
      </c>
      <c r="B4" s="181" t="n"/>
      <c r="C4" s="181" t="n"/>
      <c r="D4" s="181" t="n"/>
      <c r="E4" s="181" t="n"/>
    </row>
    <row r="5" ht="15" customHeight="1" s="144">
      <c r="A5" s="182" t="inlineStr">
        <is>
          <t>IN-N-01</t>
        </is>
      </c>
      <c r="B5" s="183" t="inlineStr">
        <is>
          <t>1일 평균 수용인원(전국, 2025)</t>
        </is>
      </c>
      <c r="C5" s="184">
        <f>'서식2 수용인원'!D7</f>
        <v/>
      </c>
      <c r="D5" s="185" t="inlineStr">
        <is>
          <t>명</t>
        </is>
      </c>
      <c r="E5" s="186" t="inlineStr">
        <is>
          <t>서식2 1번(보안과)</t>
        </is>
      </c>
    </row>
    <row r="6" ht="15" customHeight="1" s="144">
      <c r="A6" s="182" t="n"/>
      <c r="B6" s="185" t="inlineStr">
        <is>
          <t>연 일수</t>
        </is>
      </c>
      <c r="C6" s="187" t="n">
        <v>365</v>
      </c>
      <c r="D6" s="185" t="inlineStr">
        <is>
          <t>일</t>
        </is>
      </c>
      <c r="E6" s="186" t="inlineStr">
        <is>
          <t>가정</t>
        </is>
      </c>
    </row>
    <row r="7" ht="15" customHeight="1" s="144">
      <c r="A7" s="182" t="inlineStr">
        <is>
          <t>IN-C-02</t>
        </is>
      </c>
      <c r="B7" s="185" t="inlineStr">
        <is>
          <t>급식비</t>
        </is>
      </c>
      <c r="C7" s="184">
        <f>'서식1 세출예산'!D7</f>
        <v/>
      </c>
      <c r="D7" s="185" t="inlineStr">
        <is>
          <t>원</t>
        </is>
      </c>
      <c r="E7" s="186" t="inlineStr">
        <is>
          <t>서식1 1번(복지과)</t>
        </is>
      </c>
    </row>
    <row r="8" ht="15" customHeight="1" s="144">
      <c r="A8" s="182" t="inlineStr">
        <is>
          <t>IN-C-03</t>
        </is>
      </c>
      <c r="B8" s="185" t="inlineStr">
        <is>
          <t>피복·침구비</t>
        </is>
      </c>
      <c r="C8" s="184">
        <f>'서식1 세출예산'!D8</f>
        <v/>
      </c>
      <c r="D8" s="185" t="inlineStr">
        <is>
          <t>원</t>
        </is>
      </c>
      <c r="E8" s="186" t="inlineStr">
        <is>
          <t>서식1 2번</t>
        </is>
      </c>
    </row>
    <row r="9" ht="15" customHeight="1" s="144">
      <c r="A9" s="182" t="inlineStr">
        <is>
          <t>IN-C-04</t>
        </is>
      </c>
      <c r="B9" s="185" t="inlineStr">
        <is>
          <t>공공요금</t>
        </is>
      </c>
      <c r="C9" s="184">
        <f>'서식1 세출예산'!D9</f>
        <v/>
      </c>
      <c r="D9" s="185" t="inlineStr">
        <is>
          <t>원</t>
        </is>
      </c>
      <c r="E9" s="186" t="inlineStr">
        <is>
          <t>서식1 3번</t>
        </is>
      </c>
    </row>
    <row r="10" ht="15" customHeight="1" s="144">
      <c r="A10" s="182" t="inlineStr">
        <is>
          <t>IN-C-05</t>
        </is>
      </c>
      <c r="B10" s="185" t="inlineStr">
        <is>
          <t>일반수용비·기타 물건비</t>
        </is>
      </c>
      <c r="C10" s="184">
        <f>'서식1 세출예산'!D10</f>
        <v/>
      </c>
      <c r="D10" s="185" t="inlineStr">
        <is>
          <t>원</t>
        </is>
      </c>
      <c r="E10" s="186" t="inlineStr">
        <is>
          <t>서식1 4번</t>
        </is>
      </c>
    </row>
    <row r="11" ht="15" customHeight="1" s="144">
      <c r="A11" s="182" t="inlineStr">
        <is>
          <t>IN-C-06</t>
        </is>
      </c>
      <c r="B11" s="185" t="inlineStr">
        <is>
          <t>교도소운영 인건비</t>
        </is>
      </c>
      <c r="C11" s="184">
        <f>'서식1 세출예산'!D11</f>
        <v/>
      </c>
      <c r="D11" s="185" t="inlineStr">
        <is>
          <t>원</t>
        </is>
      </c>
      <c r="E11" s="186" t="inlineStr">
        <is>
          <t>서식1 5번</t>
        </is>
      </c>
    </row>
    <row r="12" ht="25.35" customHeight="1" s="144">
      <c r="A12" s="182" t="inlineStr">
        <is>
          <t>PG-C-01</t>
        </is>
      </c>
      <c r="B12" s="185" t="inlineStr">
        <is>
          <t>교정·교화 사업</t>
        </is>
      </c>
      <c r="C12" s="184">
        <f>'서식1 세출예산'!D12</f>
        <v/>
      </c>
      <c r="D12" s="185" t="inlineStr">
        <is>
          <t>원</t>
        </is>
      </c>
      <c r="E12" s="186" t="inlineStr">
        <is>
          <t>서식1 6번. 재활예산(서식6)을 포함하므로 UC-01에 넣으면 재활비가 이중으로 잡힘 → 아래 UC-01a에서는 제외</t>
        </is>
      </c>
    </row>
    <row r="13" ht="15" customHeight="1" s="144">
      <c r="A13" s="182" t="inlineStr">
        <is>
          <t>IN-C-08</t>
        </is>
      </c>
      <c r="B13" s="185" t="inlineStr">
        <is>
          <t>교정시설장비 운용·현대화</t>
        </is>
      </c>
      <c r="C13" s="184">
        <f>'서식1 세출예산'!D13</f>
        <v/>
      </c>
      <c r="D13" s="185" t="inlineStr">
        <is>
          <t>원</t>
        </is>
      </c>
      <c r="E13" s="186" t="inlineStr">
        <is>
          <t>서식1 7번</t>
        </is>
      </c>
    </row>
    <row r="14" ht="15" customHeight="1" s="144">
      <c r="A14" s="182" t="inlineStr">
        <is>
          <t>IN-C-10</t>
        </is>
      </c>
      <c r="B14" s="185" t="inlineStr">
        <is>
          <t>교정본부·지방교정청 공통관리비</t>
        </is>
      </c>
      <c r="C14" s="184">
        <f>'서식1 세출예산'!D15</f>
        <v/>
      </c>
      <c r="D14" s="185" t="inlineStr">
        <is>
          <t>원</t>
        </is>
      </c>
      <c r="E14" s="186" t="inlineStr">
        <is>
          <t>서식1 9번</t>
        </is>
      </c>
    </row>
    <row r="15" ht="15" customHeight="1" s="144">
      <c r="A15" s="182" t="n"/>
      <c r="B15" s="185" t="inlineStr">
        <is>
          <t>교도소 일반회계 세출 결산 총액(2025)</t>
        </is>
      </c>
      <c r="C15" s="188" t="n">
        <v>1699217000000</v>
      </c>
      <c r="D15" s="185" t="inlineStr">
        <is>
          <t>원</t>
        </is>
      </c>
      <c r="E15" s="186" t="inlineStr">
        <is>
          <t>복지과 별도 회신(hwpx "자료요청 2차"). 의료비·직업훈련 등 서식1 미분류 항목 포함</t>
        </is>
      </c>
    </row>
    <row r="16" ht="15" customHeight="1" s="144">
      <c r="A16" s="182" t="n"/>
      <c r="B16" s="185" t="inlineStr">
        <is>
          <t>회신 항목 합계(교정·교화 제외)</t>
        </is>
      </c>
      <c r="C16" s="189">
        <f>$C$7+$C$8+$C$9+$C$10+$C$11+$C$13+$C$14</f>
        <v/>
      </c>
      <c r="D16" s="185" t="inlineStr">
        <is>
          <t>원</t>
        </is>
      </c>
      <c r="E16" s="186" t="inlineStr">
        <is>
          <t>교정시설 취득(8번)·교도작업특별회계(10번) 미회신으로 빠짐</t>
        </is>
      </c>
    </row>
    <row r="17" ht="15" customHeight="1" s="144">
      <c r="A17" s="182" t="inlineStr">
        <is>
          <t>UC-01a</t>
        </is>
      </c>
      <c r="B17" s="190" t="inlineStr">
        <is>
          <t>수용 1인·연 총원가 (회신 항목 기준)</t>
        </is>
      </c>
      <c r="C17" s="191">
        <f>$C$16/$C$5</f>
        <v/>
      </c>
      <c r="D17" s="185" t="inlineStr">
        <is>
          <t>원/인·년</t>
        </is>
      </c>
      <c r="E17" s="186" t="inlineStr">
        <is>
          <t>하한. 보고서 초안 2,396만 원은 교정·교화 포함값</t>
        </is>
      </c>
    </row>
    <row r="18" ht="15" customHeight="1" s="144">
      <c r="A18" s="182" t="inlineStr">
        <is>
          <t>UC-01a</t>
        </is>
      </c>
      <c r="B18" s="185" t="inlineStr">
        <is>
          <t>수용 1인·1일 총원가 (회신 항목 기준)</t>
        </is>
      </c>
      <c r="C18" s="189">
        <f>$C$17/$C$6</f>
        <v/>
      </c>
      <c r="D18" s="185" t="inlineStr">
        <is>
          <t>원/인·일</t>
        </is>
      </c>
      <c r="E18" s="186" t="n"/>
    </row>
    <row r="19" ht="15" customHeight="1" s="144">
      <c r="A19" s="182" t="inlineStr">
        <is>
          <t>UC-01b</t>
        </is>
      </c>
      <c r="B19" s="190" t="inlineStr">
        <is>
          <t>수용 1인·연 총원가 (일반회계 결산 총액 기준)</t>
        </is>
      </c>
      <c r="C19" s="191">
        <f>($C$15-$C$12)/$C$5</f>
        <v/>
      </c>
      <c r="D19" s="185" t="inlineStr">
        <is>
          <t>원/인·년</t>
        </is>
      </c>
      <c r="E19" s="186" t="inlineStr">
        <is>
          <t>상한. 결산 총액에서 교정·교화(재활 포함)만 제외</t>
        </is>
      </c>
    </row>
    <row r="20" ht="15" customHeight="1" s="144">
      <c r="A20" s="182" t="n"/>
      <c r="B20" s="185" t="inlineStr">
        <is>
          <t>변동원가에 넣을 공공요금 비율</t>
        </is>
      </c>
      <c r="C20" s="192" t="n">
        <v>0.5</v>
      </c>
      <c r="D20" s="183" t="n"/>
      <c r="E20" s="186" t="inlineStr">
        <is>
          <t>가정: 공공요금은 수용인원에 반쯤 비례(준변동비)</t>
        </is>
      </c>
    </row>
    <row r="21" ht="15" customHeight="1" s="144">
      <c r="A21" s="182" t="inlineStr">
        <is>
          <t>UC-02</t>
        </is>
      </c>
      <c r="B21" s="190" t="inlineStr">
        <is>
          <t>수용 1인·1일 변동원가(한계원가)</t>
        </is>
      </c>
      <c r="C21" s="191">
        <f>($C$7+$C$8+$C$10+$C$9*$C$20)/$C$5/$C$6</f>
        <v/>
      </c>
      <c r="D21" s="185" t="inlineStr">
        <is>
          <t>원/인·일</t>
        </is>
      </c>
      <c r="E21" s="186" t="inlineStr">
        <is>
          <t>급식+피복+일반수용비+공공요금×비율. 인건비·장비·관리비는 단기 고정비로 봄</t>
        </is>
      </c>
    </row>
    <row r="23" ht="15" customHeight="1" s="144">
      <c r="A23" s="180" t="inlineStr">
        <is>
          <t>B. 투입 원가중심점 (PG-C / PG-N / PG-D) → UC-07 인시당 원가, UC-06 과정별 1인당 원가</t>
        </is>
      </c>
      <c r="B23" s="181" t="n"/>
      <c r="C23" s="181" t="n"/>
      <c r="D23" s="181" t="n"/>
      <c r="E23" s="181" t="n"/>
    </row>
    <row r="24" ht="15" customHeight="1" s="144">
      <c r="A24" s="182" t="inlineStr">
        <is>
          <t>PG-C-02·03</t>
        </is>
      </c>
      <c r="B24" s="185" t="inlineStr">
        <is>
          <t>마약사범 재활 예산 총액(2025)</t>
        </is>
      </c>
      <c r="C24" s="184">
        <f>'서식6 재활예산'!D15</f>
        <v/>
      </c>
      <c r="D24" s="185" t="inlineStr">
        <is>
          <t>원</t>
        </is>
      </c>
      <c r="E24" s="186" t="inlineStr">
        <is>
          <t>서식6(복지과). 비목 구분 불가, 예산/집행 구분과 시설비 포함 여부 확인 필요</t>
        </is>
      </c>
    </row>
    <row r="25" ht="15" customHeight="1" s="144">
      <c r="A25" s="193" t="inlineStr">
        <is>
          <t>PG-C-04</t>
        </is>
      </c>
      <c r="B25" s="194" t="inlineStr">
        <is>
          <t>직급</t>
        </is>
      </c>
      <c r="C25" s="194" t="inlineStr">
        <is>
          <t>화성직훈(교)</t>
        </is>
      </c>
      <c r="D25" s="194" t="inlineStr">
        <is>
          <t>부산(교)</t>
        </is>
      </c>
      <c r="E25" s="194" t="inlineStr">
        <is>
          <t>청주여자(교)</t>
        </is>
      </c>
      <c r="F25" s="194" t="inlineStr">
        <is>
          <t>광주(교)</t>
        </is>
      </c>
      <c r="G25" s="194" t="inlineStr">
        <is>
          <t>월 봉급(원)</t>
        </is>
      </c>
      <c r="H25" s="195" t="inlineStr">
        <is>
          <t>출처: 직급 구성=서식5 비고(마약사범재활팀, 2026 정원). 월 봉급=인사혁신처 2026 일반직 봉급표 10호봉(가정).</t>
        </is>
      </c>
    </row>
    <row r="26" ht="15" customHeight="1" s="144">
      <c r="B26" s="183" t="inlineStr">
        <is>
          <t>5급</t>
        </is>
      </c>
      <c r="C26" s="196" t="n">
        <v>1</v>
      </c>
      <c r="D26" s="196" t="n">
        <v>1</v>
      </c>
      <c r="E26" s="196" t="n">
        <v>1</v>
      </c>
      <c r="F26" s="196" t="n">
        <v>1</v>
      </c>
      <c r="G26" s="188" t="n">
        <v>4066800</v>
      </c>
    </row>
    <row r="27" ht="15" customHeight="1" s="144">
      <c r="B27" s="183" t="inlineStr">
        <is>
          <t>6급</t>
        </is>
      </c>
      <c r="C27" s="196" t="n">
        <v>3</v>
      </c>
      <c r="D27" s="196" t="n">
        <v>2</v>
      </c>
      <c r="E27" s="196" t="n">
        <v>1</v>
      </c>
      <c r="F27" s="196" t="n">
        <v>2</v>
      </c>
      <c r="G27" s="188" t="n">
        <v>3468700</v>
      </c>
    </row>
    <row r="28" ht="15" customHeight="1" s="144">
      <c r="B28" s="183" t="inlineStr">
        <is>
          <t>7급</t>
        </is>
      </c>
      <c r="C28" s="196" t="n">
        <v>1</v>
      </c>
      <c r="D28" s="196" t="n">
        <v>4</v>
      </c>
      <c r="E28" s="196" t="n">
        <v>1</v>
      </c>
      <c r="F28" s="196" t="n">
        <v>3</v>
      </c>
      <c r="G28" s="188" t="n">
        <v>3133300</v>
      </c>
    </row>
    <row r="29" ht="15" customHeight="1" s="144">
      <c r="B29" s="183" t="inlineStr">
        <is>
          <t>8급</t>
        </is>
      </c>
      <c r="C29" s="196" t="n">
        <v>2</v>
      </c>
      <c r="D29" s="196" t="n">
        <v>4</v>
      </c>
      <c r="E29" s="196" t="n">
        <v>3</v>
      </c>
      <c r="F29" s="196" t="n">
        <v>2</v>
      </c>
      <c r="G29" s="188" t="n">
        <v>2813000</v>
      </c>
    </row>
    <row r="30" ht="15" customHeight="1" s="144">
      <c r="B30" s="183" t="inlineStr">
        <is>
          <t>9급</t>
        </is>
      </c>
      <c r="C30" s="196" t="n">
        <v>4</v>
      </c>
      <c r="D30" s="196" t="n">
        <v>0</v>
      </c>
      <c r="E30" s="196" t="n">
        <v>5</v>
      </c>
      <c r="F30" s="196" t="n">
        <v>3</v>
      </c>
      <c r="G30" s="188" t="n">
        <v>2542700</v>
      </c>
    </row>
    <row r="31" ht="15" customHeight="1" s="144">
      <c r="B31" s="190" t="inlineStr">
        <is>
          <t>인원 합계</t>
        </is>
      </c>
      <c r="C31" s="197">
        <f>SUM(C26:C30)</f>
        <v/>
      </c>
      <c r="D31" s="197">
        <f>SUM(D26:D30)</f>
        <v/>
      </c>
      <c r="E31" s="197">
        <f>SUM(E26:E30)</f>
        <v/>
      </c>
      <c r="F31" s="197">
        <f>SUM(F26:F30)</f>
        <v/>
      </c>
    </row>
    <row r="32" ht="15" customHeight="1" s="144">
      <c r="B32" s="185" t="inlineStr">
        <is>
          <t>프로그램 직접투입 비율</t>
        </is>
      </c>
      <c r="C32" s="198">
        <f>'서식5 전담인력'!G8/100</f>
        <v/>
      </c>
      <c r="D32" s="198">
        <f>'서식5 전담인력'!G9/100</f>
        <v/>
      </c>
      <c r="E32" s="198">
        <f>'서식5 전담인력'!G10/100</f>
        <v/>
      </c>
      <c r="F32" s="198">
        <f>'서식5 전담인력'!G11/100</f>
        <v/>
      </c>
    </row>
    <row r="33" ht="15" customHeight="1" s="144">
      <c r="B33" s="185" t="inlineStr">
        <is>
          <t>연 인건비(봉급×12×계수)</t>
        </is>
      </c>
      <c r="C33" s="199">
        <f>SUMPRODUCT(C26:C30,$G$26:$G$30)*12*$C$35</f>
        <v/>
      </c>
      <c r="D33" s="199">
        <f>SUMPRODUCT(D26:D30,$G$26:$G$30)*12*$C$35</f>
        <v/>
      </c>
      <c r="E33" s="199">
        <f>SUMPRODUCT(E26:E30,$G$26:$G$30)*12*$C$35</f>
        <v/>
      </c>
      <c r="F33" s="199">
        <f>SUMPRODUCT(F26:F30,$G$26:$G$30)*12*$C$35</f>
        <v/>
      </c>
    </row>
    <row r="34" ht="15" customHeight="1" s="144">
      <c r="B34" s="185" t="inlineStr">
        <is>
          <t>직접투입 인건비</t>
        </is>
      </c>
      <c r="C34" s="199">
        <f>C33*C32</f>
        <v/>
      </c>
      <c r="D34" s="199">
        <f>D33*D32</f>
        <v/>
      </c>
      <c r="E34" s="199">
        <f>E33*E32</f>
        <v/>
      </c>
      <c r="F34" s="199">
        <f>F33*F32</f>
        <v/>
      </c>
    </row>
    <row r="35" ht="15" customHeight="1" s="144">
      <c r="A35" s="182" t="n"/>
      <c r="B35" s="185" t="inlineStr">
        <is>
          <t>봉급 외 인건비 계수(수당·상여·복리·연금부담 포함)</t>
        </is>
      </c>
      <c r="C35" s="200" t="n">
        <v>1.6</v>
      </c>
      <c r="D35" s="185" t="inlineStr">
        <is>
          <t>배</t>
        </is>
      </c>
      <c r="E35" s="186" t="inlineStr">
        <is>
          <t>가정: 연간 총인건비 ≈ 연 봉급×1.6. 보고서 초안의 24.3억 원은 계수 약 1.5에 해당</t>
        </is>
      </c>
    </row>
    <row r="36" ht="15" customHeight="1" s="144">
      <c r="A36" s="182" t="inlineStr">
        <is>
          <t>PG-C-04</t>
        </is>
      </c>
      <c r="B36" s="185" t="inlineStr">
        <is>
          <t>전담인력 연 인건비 합계(44명)</t>
        </is>
      </c>
      <c r="C36" s="189">
        <f>SUM(C33:F33)</f>
        <v/>
      </c>
      <c r="D36" s="185" t="inlineStr">
        <is>
          <t>원</t>
        </is>
      </c>
      <c r="E36" s="201" t="inlineStr">
        <is>
          <t>2026년 4개 마약사범재활과 정원 기준</t>
        </is>
      </c>
    </row>
    <row r="37" ht="15" customHeight="1" s="144">
      <c r="A37" s="182" t="inlineStr">
        <is>
          <t>PG-D-02</t>
        </is>
      </c>
      <c r="B37" s="185" t="inlineStr">
        <is>
          <t>그중 프로그램 직접투입분</t>
        </is>
      </c>
      <c r="C37" s="189">
        <f>SUM(C34:F34)</f>
        <v/>
      </c>
      <c r="D37" s="185" t="inlineStr">
        <is>
          <t>원</t>
        </is>
      </c>
      <c r="E37" s="186" t="inlineStr">
        <is>
          <t>기관별 투입비율(64.0~68.2%) 적용</t>
        </is>
      </c>
    </row>
    <row r="38" ht="25.35" customHeight="1" s="144">
      <c r="A38" s="182" t="n"/>
      <c r="B38" s="183" t="inlineStr">
        <is>
          <t>2025년 원가에 전담인력 인건비 반영(1=예, 0=아니오)</t>
        </is>
      </c>
      <c r="C38" s="202" t="n">
        <v>1</v>
      </c>
      <c r="D38" s="183" t="n"/>
      <c r="E38" s="186" t="inlineStr">
        <is>
          <t>가정: 4개 과는 2026.1 신설이므로 2025년에는 다른 인력이 수행. 2026 구조를 2025 대리값으로 씀</t>
        </is>
      </c>
    </row>
    <row r="39" ht="15" customHeight="1" s="144">
      <c r="A39" s="182" t="n"/>
      <c r="B39" s="203" t="inlineStr">
        <is>
          <t>PG 비용풀(재활예산 + 직접투입 인건비)</t>
        </is>
      </c>
      <c r="C39" s="191">
        <f>$C$24+$C$37*$C$38</f>
        <v/>
      </c>
      <c r="D39" s="185" t="inlineStr">
        <is>
          <t>원</t>
        </is>
      </c>
      <c r="E39" s="186" t="n"/>
    </row>
    <row r="41" ht="27.75" customHeight="1" s="144">
      <c r="B41" s="204" t="inlineStr">
        <is>
          <t>과정</t>
        </is>
      </c>
      <c r="C41" s="204" t="inlineStr">
        <is>
          <t>이수 인원(2025)</t>
        </is>
      </c>
      <c r="D41" s="204" t="inlineStr">
        <is>
          <t>과정 시간</t>
        </is>
      </c>
      <c r="E41" s="204" t="inlineStr">
        <is>
          <t>이수 인시</t>
        </is>
      </c>
      <c r="F41" s="205" t="inlineStr">
        <is>
          <t>UC-06 1인당 원가</t>
        </is>
      </c>
      <c r="G41" s="205" t="inlineStr">
        <is>
          <t>ΔC 1인당 증분비용</t>
        </is>
      </c>
      <c r="H41" s="204" t="inlineStr">
        <is>
          <t>손익분기 SCᵣ*</t>
        </is>
      </c>
      <c r="I41" s="204" t="inlineStr">
        <is>
          <t>부분 B/C</t>
        </is>
      </c>
    </row>
    <row r="42" ht="15" customHeight="1" s="144">
      <c r="A42" s="193" t="inlineStr">
        <is>
          <t>PG-N-02</t>
        </is>
      </c>
      <c r="B42" s="185" t="inlineStr">
        <is>
          <t>기본</t>
        </is>
      </c>
      <c r="C42" s="184">
        <f>'서식4 재활교육 실적'!G12</f>
        <v/>
      </c>
      <c r="D42" s="206">
        <f>'서식4 재활교육 실적'!D12</f>
        <v/>
      </c>
      <c r="E42" s="207">
        <f>C42*D42</f>
        <v/>
      </c>
      <c r="F42" s="207">
        <f>D42*$C$48</f>
        <v/>
      </c>
      <c r="G42" s="207">
        <f>F42+$C$55+$C$58+$C$59*$C$21</f>
        <v/>
      </c>
      <c r="H42" s="207">
        <f>G42/($C$70*$C$80)</f>
        <v/>
      </c>
      <c r="I42" s="208">
        <f>$C$70*$C$94*$C$80/G42</f>
        <v/>
      </c>
    </row>
    <row r="43" ht="15" customHeight="1" s="144">
      <c r="A43" s="193" t="inlineStr">
        <is>
          <t>PG-N-02</t>
        </is>
      </c>
      <c r="B43" s="185" t="inlineStr">
        <is>
          <t>집중</t>
        </is>
      </c>
      <c r="C43" s="184">
        <f>'서식4 재활교육 실적'!G13</f>
        <v/>
      </c>
      <c r="D43" s="206">
        <f>'서식4 재활교육 실적'!D13</f>
        <v/>
      </c>
      <c r="E43" s="207">
        <f>C43*D43</f>
        <v/>
      </c>
      <c r="F43" s="207">
        <f>D43*$C$48</f>
        <v/>
      </c>
      <c r="G43" s="207">
        <f>F43+$C$55+$C$58+$C$59*$C$21</f>
        <v/>
      </c>
      <c r="H43" s="207">
        <f>G43/($C$70*$C$80)</f>
        <v/>
      </c>
      <c r="I43" s="208">
        <f>$C$70*$C$94*$C$80/G43</f>
        <v/>
      </c>
    </row>
    <row r="44" ht="15" customHeight="1" s="144">
      <c r="A44" s="193" t="inlineStr">
        <is>
          <t>PG-N-02</t>
        </is>
      </c>
      <c r="B44" s="185" t="inlineStr">
        <is>
          <t>심화</t>
        </is>
      </c>
      <c r="C44" s="184">
        <f>'서식4 재활교육 실적'!G14</f>
        <v/>
      </c>
      <c r="D44" s="206">
        <f>'서식4 재활교육 실적'!D14</f>
        <v/>
      </c>
      <c r="E44" s="207">
        <f>C44*D44</f>
        <v/>
      </c>
      <c r="F44" s="207">
        <f>D44*$C$48</f>
        <v/>
      </c>
      <c r="G44" s="207">
        <f>F44+$C$55+$C$58+$C$59*$C$21</f>
        <v/>
      </c>
      <c r="H44" s="207">
        <f>G44/($C$70*$C$80)</f>
        <v/>
      </c>
      <c r="I44" s="208">
        <f>$C$70*$C$94*$C$80/G44</f>
        <v/>
      </c>
    </row>
    <row r="45" ht="15" customHeight="1" s="144">
      <c r="A45" s="193" t="inlineStr">
        <is>
          <t>PG-N-02</t>
        </is>
      </c>
      <c r="B45" s="185" t="inlineStr">
        <is>
          <t>회복이음</t>
        </is>
      </c>
      <c r="C45" s="184">
        <f>'서식4 재활교육 실적'!G15</f>
        <v/>
      </c>
      <c r="D45" s="206">
        <f>'서식4 재활교육 실적'!D15</f>
        <v/>
      </c>
      <c r="E45" s="207">
        <f>C45*D45</f>
        <v/>
      </c>
      <c r="F45" s="207">
        <f>D45*$C$48</f>
        <v/>
      </c>
      <c r="G45" s="207">
        <f>F45+$C$55+$C$58+$C$59*$C$21</f>
        <v/>
      </c>
      <c r="H45" s="207">
        <f>G45/($C$70*$C$80)</f>
        <v/>
      </c>
      <c r="I45" s="208">
        <f>$C$70*$C$94*$C$80/G45</f>
        <v/>
      </c>
    </row>
    <row r="46" ht="15" customHeight="1" s="144">
      <c r="B46" s="190" t="inlineStr">
        <is>
          <t>합계·평균</t>
        </is>
      </c>
      <c r="C46" s="207">
        <f>SUM(C42:C45)</f>
        <v/>
      </c>
      <c r="D46" s="209" t="n"/>
      <c r="E46" s="207">
        <f>SUM(E42:E45)</f>
        <v/>
      </c>
      <c r="F46" s="210">
        <f>$C$49</f>
        <v/>
      </c>
      <c r="G46" s="210">
        <f>F46+$C$55+$C$58+$C$59*$C$21</f>
        <v/>
      </c>
      <c r="H46" s="210">
        <f>G46/($C$70*$C$80)</f>
        <v/>
      </c>
      <c r="I46" s="211">
        <f>$C$70*$C$94*$C$80/G46</f>
        <v/>
      </c>
    </row>
    <row r="48" ht="15" customHeight="1" s="144">
      <c r="A48" s="182" t="inlineStr">
        <is>
          <t>UC-07</t>
        </is>
      </c>
      <c r="B48" s="190" t="inlineStr">
        <is>
          <t>재활교육 1인시당 원가</t>
        </is>
      </c>
      <c r="C48" s="191">
        <f>$C$39/$E$46</f>
        <v/>
      </c>
      <c r="D48" s="185" t="inlineStr">
        <is>
          <t>원/인시</t>
        </is>
      </c>
      <c r="E48" s="201" t="inlineStr">
        <is>
          <t>PG 비용풀 ÷ 이수 인시. 개시·중도탈락 인원 미회신으로 이수 인원만 분모 → 과대 추정 쪽</t>
        </is>
      </c>
    </row>
    <row r="49" ht="15" customHeight="1" s="144">
      <c r="A49" s="182" t="inlineStr">
        <is>
          <t>UC-06</t>
        </is>
      </c>
      <c r="B49" s="190" t="inlineStr">
        <is>
          <t>이수자 1인당 평균 프로그램 원가</t>
        </is>
      </c>
      <c r="C49" s="191">
        <f>$C$39/$C$46</f>
        <v/>
      </c>
      <c r="D49" s="185" t="inlineStr">
        <is>
          <t>원/인</t>
        </is>
      </c>
      <c r="E49" s="186" t="inlineStr">
        <is>
          <t>과정 구성 가중평균. 보고서 초안 377.6만 원(예산만)·530.5만 원(인건비 포함)과 대조</t>
        </is>
      </c>
    </row>
    <row r="51" ht="15" customHeight="1" s="144">
      <c r="A51" s="180" t="inlineStr">
        <is>
          <t>C. 치료(UC-10)·사후관리(UC-12) 원가중심점 — 자료 미비, 참고값만 산출</t>
        </is>
      </c>
      <c r="B51" s="181" t="n"/>
      <c r="C51" s="181" t="n"/>
      <c r="D51" s="181" t="n"/>
      <c r="E51" s="181" t="n"/>
    </row>
    <row r="52" ht="25.35" customHeight="1" s="144">
      <c r="A52" s="182" t="n"/>
      <c r="B52" s="185" t="inlineStr">
        <is>
          <t>서식7 의료비 단위 환산 계수</t>
        </is>
      </c>
      <c r="C52" s="187" t="n">
        <v>1000</v>
      </c>
      <c r="D52" s="185" t="inlineStr">
        <is>
          <t>배</t>
        </is>
      </c>
      <c r="E52" s="186" t="inlineStr">
        <is>
          <t>가정: 회신값이 천원 단위로 보임(원 단위면 전국 의료비 342만 원이 되어 불가능). 의료과 확인 후 수정</t>
        </is>
      </c>
    </row>
    <row r="53" ht="15" customHeight="1" s="144">
      <c r="A53" s="182" t="inlineStr">
        <is>
          <t>TX-C-01</t>
        </is>
      </c>
      <c r="B53" s="185" t="inlineStr">
        <is>
          <t>수용자 의료비 총액(2025)</t>
        </is>
      </c>
      <c r="C53" s="184">
        <f>'서식7 의료·검사'!H7*$C$52</f>
        <v/>
      </c>
      <c r="D53" s="185" t="inlineStr">
        <is>
          <t>원</t>
        </is>
      </c>
      <c r="E53" s="186" t="inlineStr">
        <is>
          <t>서식7 1번(의료과)</t>
        </is>
      </c>
    </row>
    <row r="54" ht="15" customHeight="1" s="144">
      <c r="A54" s="212" t="inlineStr">
        <is>
          <t>참고</t>
        </is>
      </c>
      <c r="B54" s="185" t="inlineStr">
        <is>
          <t>수용자 1인당 연 의료비(전체 수용자)</t>
        </is>
      </c>
      <c r="C54" s="189">
        <f>$C$53/$C$5</f>
        <v/>
      </c>
      <c r="D54" s="185" t="inlineStr">
        <is>
          <t>원/인·년</t>
        </is>
      </c>
      <c r="E54" s="186" t="inlineStr">
        <is>
          <t>마약류사범 치료개입 원가(UC-10)가 아님. 치료개입 대상 인원·정신과 약제비 미생산</t>
        </is>
      </c>
      <c r="F54" s="213" t="inlineStr">
        <is>
          <t>수기값(F)</t>
        </is>
      </c>
    </row>
    <row r="55" ht="25.35" customHeight="1" s="144">
      <c r="A55" s="182" t="inlineStr">
        <is>
          <t>UC-10</t>
        </is>
      </c>
      <c r="B55" s="183" t="inlineStr">
        <is>
          <t>ΔC에 넣는 치료개입 원가</t>
        </is>
      </c>
      <c r="C55" s="189">
        <f>IF(AND(ISNUMBER('서식7 의료·검사'!H12),ISNUMBER('서식7 의료·검사'!H18),N('서식7 의료·검사'!H18)&gt;0),'서식7 의료·검사'!H12*$C$52/'서식7 의료·검사'!H18,F55)</f>
        <v/>
      </c>
      <c r="D55" s="185" t="inlineStr">
        <is>
          <t>원/인</t>
        </is>
      </c>
      <c r="E55" s="186" t="inlineStr">
        <is>
          <t>자동: 서식7의 정신과 진료·약품비(6번)와 치료개입 대상 인원(12번)이 모두 숫자로 들어오면 그 몫으로 계산. 없으면 F열(수기값, 기본 0)</t>
        </is>
      </c>
      <c r="F55" s="214" t="n">
        <v>0</v>
      </c>
    </row>
    <row r="56" ht="25.35" customHeight="1" s="144">
      <c r="A56" s="182" t="inlineStr">
        <is>
          <t>CU-C-01</t>
        </is>
      </c>
      <c r="B56" s="185" t="inlineStr">
        <is>
          <t>국립법무병원 결산(2025)</t>
        </is>
      </c>
      <c r="C56" s="184">
        <f>'별도요청 타기관'!H14</f>
        <v/>
      </c>
      <c r="D56" s="185" t="inlineStr">
        <is>
          <t>원</t>
        </is>
      </c>
      <c r="E56" s="186" t="inlineStr">
        <is>
          <t>치료처우과 회신. 병원 전체 결산이라 약물중독(2호) 몫을 나눌 분모(병원 전체 연평균 수용인원)가 필요</t>
        </is>
      </c>
    </row>
    <row r="57" ht="15" customHeight="1" s="144">
      <c r="A57" s="182" t="inlineStr">
        <is>
          <t>CU-N-02</t>
        </is>
      </c>
      <c r="B57" s="185" t="inlineStr">
        <is>
          <t>보호관찰 대상 마약류사범(2025)</t>
        </is>
      </c>
      <c r="C57" s="184">
        <f>'별도요청 타기관'!H11</f>
        <v/>
      </c>
      <c r="D57" s="185" t="inlineStr">
        <is>
          <t>명</t>
        </is>
      </c>
      <c r="E57" s="186" t="inlineStr">
        <is>
          <t>범죄예방정책국 회신. 관련 예산은 "산출 불가"</t>
        </is>
      </c>
      <c r="G57" s="213" t="inlineStr">
        <is>
          <t>연계비율(G)</t>
        </is>
      </c>
    </row>
    <row r="58" ht="25.35" customHeight="1" s="144">
      <c r="A58" s="182" t="inlineStr">
        <is>
          <t>UC-12</t>
        </is>
      </c>
      <c r="B58" s="183" t="inlineStr">
        <is>
          <t>ΔC에 넣는 사후관리 원가</t>
        </is>
      </c>
      <c r="C58" s="189">
        <f>IF(AND(ISNUMBER('별도요청 타기관'!H8),ISNUMBER('별도요청 타기관'!H9),N('별도요청 타기관'!H9)&gt;0),'별도요청 타기관'!H8/'별도요청 타기관'!H9*G58/(1+$C$73),F58)</f>
        <v/>
      </c>
      <c r="D58" s="185" t="inlineStr">
        <is>
          <t>원/인</t>
        </is>
      </c>
      <c r="E58" s="186" t="inlineStr">
        <is>
          <t>자동: 별도요청 2번(치료보호 집행액)·3번(지원 인원) 2025년 값이 들어오면 1인·연 원가×연계비율(G열)÷(1+r). 없으면 F열(수기값, 기본 0)</t>
        </is>
      </c>
      <c r="F58" s="214" t="n">
        <v>0</v>
      </c>
      <c r="G58" s="215" t="n">
        <v>1</v>
      </c>
    </row>
    <row r="59" ht="15" customHeight="1" s="144">
      <c r="A59" s="182" t="inlineStr">
        <is>
          <t>ΔM</t>
        </is>
      </c>
      <c r="B59" s="185" t="inlineStr">
        <is>
          <t>재활 참여로 달라지는 수용기간</t>
        </is>
      </c>
      <c r="C59" s="187" t="n">
        <v>0</v>
      </c>
      <c r="D59" s="185" t="inlineStr">
        <is>
          <t>일</t>
        </is>
      </c>
      <c r="E59" s="186" t="inlineStr">
        <is>
          <t>가정: 차이 없음(치료조건부 가석방 도입 시 음수)</t>
        </is>
      </c>
    </row>
    <row r="61" ht="15" customHeight="1" s="144">
      <c r="A61" s="180" t="inlineStr">
        <is>
          <t>D. 효과 (OC) — 서식9 회신 전에는 김도균·나종민(2025) 표본(F열)을 씀</t>
        </is>
      </c>
      <c r="B61" s="181" t="n"/>
      <c r="C61" s="181" t="n"/>
      <c r="D61" s="181" t="n"/>
      <c r="E61" s="181" t="n"/>
      <c r="F61" s="213" t="inlineStr">
        <is>
          <t>논문값(F)</t>
        </is>
      </c>
    </row>
    <row r="62" ht="15" customHeight="1" s="144">
      <c r="A62" s="182" t="inlineStr">
        <is>
          <t>OC-03</t>
        </is>
      </c>
      <c r="B62" s="185" t="inlineStr">
        <is>
          <t>서식9 회신값 사용 여부(1=서식9, 0=논문)</t>
        </is>
      </c>
      <c r="C62" s="216">
        <f>IF(AND(N('서식9 이수별 재복역'!D9)&gt;0,N('서식9 이수별 재복역'!E9)&gt;0,N('서식9 이수별 재복역'!D10)&gt;0,N('서식9 이수별 재복역'!E10)&gt;0),1,0)</f>
        <v/>
      </c>
      <c r="D62" s="183" t="n"/>
      <c r="E62" s="186" t="inlineStr">
        <is>
          <t>자동 판정</t>
        </is>
      </c>
    </row>
    <row r="63" ht="25.35" customHeight="1" s="144">
      <c r="A63" s="182" t="inlineStr">
        <is>
          <t>OC-03</t>
        </is>
      </c>
      <c r="B63" s="185" t="inlineStr">
        <is>
          <t>이수 집단 인원</t>
        </is>
      </c>
      <c r="C63" s="189">
        <f>IF($C$62=1,'서식9 이수별 재복역'!D9,F63)</f>
        <v/>
      </c>
      <c r="D63" s="185" t="inlineStr">
        <is>
          <t>명</t>
        </is>
      </c>
      <c r="E63" s="186" t="inlineStr">
        <is>
          <t>자동: 서식9의 2025 전체 이수·미이수 두 줄이 모두 채워지면 서식9 값, 아니면 F열(김도균·나종민 2025 표5)</t>
        </is>
      </c>
      <c r="F63" s="217" t="n">
        <v>439</v>
      </c>
    </row>
    <row r="64" ht="15" customHeight="1" s="144">
      <c r="A64" s="182" t="inlineStr">
        <is>
          <t>OC-03</t>
        </is>
      </c>
      <c r="B64" s="185" t="inlineStr">
        <is>
          <t>이수 집단 재복역</t>
        </is>
      </c>
      <c r="C64" s="189">
        <f>IF($C$62=1,'서식9 이수별 재복역'!E9,F64)</f>
        <v/>
      </c>
      <c r="D64" s="185" t="inlineStr">
        <is>
          <t>명</t>
        </is>
      </c>
      <c r="E64" s="201" t="inlineStr">
        <is>
          <t>n1과 같은 규칙</t>
        </is>
      </c>
      <c r="F64" s="217" t="n">
        <v>178</v>
      </c>
    </row>
    <row r="65" ht="15" customHeight="1" s="144">
      <c r="A65" s="182" t="inlineStr">
        <is>
          <t>OC-03</t>
        </is>
      </c>
      <c r="B65" s="185" t="inlineStr">
        <is>
          <t>미이수 집단 인원</t>
        </is>
      </c>
      <c r="C65" s="189">
        <f>IF($C$62=1,'서식9 이수별 재복역'!D10,F65)</f>
        <v/>
      </c>
      <c r="D65" s="185" t="inlineStr">
        <is>
          <t>명</t>
        </is>
      </c>
      <c r="E65" s="201" t="inlineStr">
        <is>
          <t>n1과 같은 규칙</t>
        </is>
      </c>
      <c r="F65" s="217" t="n">
        <v>492</v>
      </c>
    </row>
    <row r="66" ht="15" customHeight="1" s="144">
      <c r="A66" s="182" t="inlineStr">
        <is>
          <t>OC-03</t>
        </is>
      </c>
      <c r="B66" s="185" t="inlineStr">
        <is>
          <t>미이수 집단 재복역</t>
        </is>
      </c>
      <c r="C66" s="189">
        <f>IF($C$62=1,'서식9 이수별 재복역'!E10,F66)</f>
        <v/>
      </c>
      <c r="D66" s="185" t="inlineStr">
        <is>
          <t>명</t>
        </is>
      </c>
      <c r="E66" s="201" t="inlineStr">
        <is>
          <t>n1과 같은 규칙</t>
        </is>
      </c>
      <c r="F66" s="217" t="n">
        <v>247</v>
      </c>
    </row>
    <row r="67" ht="15" customHeight="1" s="144">
      <c r="A67" s="182" t="inlineStr">
        <is>
          <t>r0</t>
        </is>
      </c>
      <c r="B67" s="190" t="inlineStr">
        <is>
          <t>기저재범률(미이수 재복역률)</t>
        </is>
      </c>
      <c r="C67" s="218">
        <f>$C$66/$C$65</f>
        <v/>
      </c>
      <c r="D67" s="183" t="n"/>
      <c r="E67" s="186" t="inlineStr">
        <is>
          <t>추적 약 5~6.7년 누적</t>
        </is>
      </c>
    </row>
    <row r="68" ht="15" customHeight="1" s="144">
      <c r="A68" s="182" t="inlineStr">
        <is>
          <t>r1</t>
        </is>
      </c>
      <c r="B68" s="185" t="inlineStr">
        <is>
          <t>이수 집단 재복역률</t>
        </is>
      </c>
      <c r="C68" s="219">
        <f>$C$64/$C$63</f>
        <v/>
      </c>
      <c r="D68" s="183" t="n"/>
      <c r="E68" s="186" t="n"/>
    </row>
    <row r="69" ht="25.35" customHeight="1" s="144">
      <c r="A69" s="182" t="inlineStr">
        <is>
          <t>Δr</t>
        </is>
      </c>
      <c r="B69" s="190" t="inlineStr">
        <is>
          <t>재범감소폭(상대 감소율) = (r0−r1)/r0</t>
        </is>
      </c>
      <c r="C69" s="218">
        <f>($C$67-$C$68)/$C$67</f>
        <v/>
      </c>
      <c r="D69" s="183" t="n"/>
      <c r="E69" s="186" t="inlineStr">
        <is>
          <t>단순 비교값. 논문 Cox 모형 위험비 0.805(통제변수 반영, p&lt;.05) → 약 19.5%로 비슷. 로지스틱(오즈비 0.768)은 p=.066으로 유의하지 않음</t>
        </is>
      </c>
    </row>
    <row r="70" ht="15" customHeight="1" s="144">
      <c r="A70" s="182" t="n"/>
      <c r="B70" s="183" t="inlineStr">
        <is>
          <t>1인당 회피 재범 확률 = r0×Δr</t>
        </is>
      </c>
      <c r="C70" s="219">
        <f>$C$67*$C$69</f>
        <v/>
      </c>
      <c r="D70" s="183" t="n"/>
      <c r="E70" s="201" t="inlineStr">
        <is>
          <t>r0 − r1 과 같음</t>
        </is>
      </c>
    </row>
    <row r="72" ht="15" customHeight="1" s="144">
      <c r="A72" s="180" t="inlineStr">
        <is>
          <t>E. 재범 시점 분포 hₜ와 할인계수 D (r = 4.5%, T = 5년)</t>
        </is>
      </c>
      <c r="B72" s="181" t="n"/>
      <c r="C72" s="181" t="n"/>
      <c r="D72" s="181" t="n"/>
      <c r="E72" s="181" t="n"/>
    </row>
    <row r="73" ht="15" customHeight="1" s="144">
      <c r="A73" s="182" t="n"/>
      <c r="B73" s="185" t="inlineStr">
        <is>
          <t>사회적 할인율 r</t>
        </is>
      </c>
      <c r="C73" s="220" t="n">
        <v>0.045</v>
      </c>
      <c r="D73" s="183" t="n"/>
      <c r="E73" s="186" t="inlineStr">
        <is>
          <t>인계 메모 기준</t>
        </is>
      </c>
    </row>
    <row r="74" ht="25.35" customHeight="1" s="144">
      <c r="A74" s="182" t="inlineStr">
        <is>
          <t>OC-05</t>
        </is>
      </c>
      <c r="B74" s="185" t="inlineStr">
        <is>
          <t>전체 재복역 중 3년 안에 일어나는 비중</t>
        </is>
      </c>
      <c r="C74" s="220" t="n">
        <v>0.796052631578947</v>
      </c>
      <c r="D74" s="183" t="n"/>
      <c r="E74" s="186" t="inlineStr">
        <is>
          <t>가정: 2018 출소 마약류사범 3년 내 재복역률 36.3%(법무부, 논문 재인용) ÷ 표본 장기 재복역률 45.6%. 서식8 경과기간 자료 오면 교체</t>
        </is>
      </c>
    </row>
    <row r="75" ht="15" customHeight="1" s="144">
      <c r="A75" s="182" t="inlineStr">
        <is>
          <t>hₜ</t>
        </is>
      </c>
      <c r="B75" s="183" t="inlineStr">
        <is>
          <t>1년차 재범 비중 h1</t>
        </is>
      </c>
      <c r="C75" s="219">
        <f>$C$74/3</f>
        <v/>
      </c>
      <c r="D75" s="183" t="n"/>
      <c r="E75" s="201" t="inlineStr">
        <is>
          <t>1~3년 균등, 4~5년 균등 배분(가정)</t>
        </is>
      </c>
    </row>
    <row r="76" ht="15" customHeight="1" s="144">
      <c r="A76" s="182" t="inlineStr">
        <is>
          <t>hₜ</t>
        </is>
      </c>
      <c r="B76" s="183" t="inlineStr">
        <is>
          <t>2년차 재범 비중 h2</t>
        </is>
      </c>
      <c r="C76" s="219">
        <f>$C$74/3</f>
        <v/>
      </c>
      <c r="D76" s="183" t="n"/>
      <c r="E76" s="201" t="inlineStr">
        <is>
          <t>1~3년 균등, 4~5년 균등 배분(가정)</t>
        </is>
      </c>
    </row>
    <row r="77" ht="15" customHeight="1" s="144">
      <c r="A77" s="182" t="inlineStr">
        <is>
          <t>hₜ</t>
        </is>
      </c>
      <c r="B77" s="183" t="inlineStr">
        <is>
          <t>3년차 재범 비중 h3</t>
        </is>
      </c>
      <c r="C77" s="219">
        <f>$C$74/3</f>
        <v/>
      </c>
      <c r="D77" s="183" t="n"/>
      <c r="E77" s="201" t="inlineStr">
        <is>
          <t>1~3년 균등, 4~5년 균등 배분(가정)</t>
        </is>
      </c>
    </row>
    <row r="78" ht="15" customHeight="1" s="144">
      <c r="A78" s="182" t="inlineStr">
        <is>
          <t>hₜ</t>
        </is>
      </c>
      <c r="B78" s="183" t="inlineStr">
        <is>
          <t>4년차 재범 비중 h4</t>
        </is>
      </c>
      <c r="C78" s="219">
        <f>(1-$C$74)/2</f>
        <v/>
      </c>
      <c r="D78" s="183" t="n"/>
      <c r="E78" s="201" t="inlineStr">
        <is>
          <t>1~3년 균등, 4~5년 균등 배분(가정)</t>
        </is>
      </c>
    </row>
    <row r="79" ht="15" customHeight="1" s="144">
      <c r="A79" s="182" t="inlineStr">
        <is>
          <t>hₜ</t>
        </is>
      </c>
      <c r="B79" s="183" t="inlineStr">
        <is>
          <t>5년차 재범 비중 h5</t>
        </is>
      </c>
      <c r="C79" s="219">
        <f>(1-$C$74)/2</f>
        <v/>
      </c>
      <c r="D79" s="183" t="n"/>
      <c r="E79" s="201" t="inlineStr">
        <is>
          <t>1~3년 균등, 4~5년 균등 배분(가정)</t>
        </is>
      </c>
    </row>
    <row r="80" ht="15" customHeight="1" s="144">
      <c r="A80" s="182" t="inlineStr">
        <is>
          <t>D</t>
        </is>
      </c>
      <c r="B80" s="190" t="inlineStr">
        <is>
          <t>할인계수 D = Σ hₜ/(1+r)^t</t>
        </is>
      </c>
      <c r="C80" s="221">
        <f>$C$75/(1+$C$73)^1+$C$76/(1+$C$73)^2+$C$77/(1+$C$73)^3+$C$78/(1+$C$73)^4+$C$79/(1+$C$73)^5</f>
        <v/>
      </c>
      <c r="D80" s="183" t="n"/>
      <c r="E80" s="186" t="n"/>
    </row>
    <row r="82" ht="15" customHeight="1" s="144">
      <c r="A82" s="180" t="inlineStr">
        <is>
          <t>F. 재범 1건당 사회적 비용 SCᵣ — 이번에 확보된 형사사법 부분만 (하한)</t>
        </is>
      </c>
      <c r="B82" s="181" t="n"/>
      <c r="C82" s="181" t="n"/>
      <c r="D82" s="181" t="n"/>
      <c r="E82" s="181" t="n"/>
      <c r="F82" s="213" t="inlineStr">
        <is>
          <t>대표값(년)</t>
        </is>
      </c>
    </row>
    <row r="83" ht="15" customHeight="1" s="144">
      <c r="A83" s="182" t="n"/>
      <c r="B83" s="185" t="inlineStr">
        <is>
          <t>향정 실형 1년 미만: 인원 / 구간 대표값(년)</t>
        </is>
      </c>
      <c r="C83" s="188" t="n">
        <v>290</v>
      </c>
      <c r="D83" s="185" t="inlineStr">
        <is>
          <t>명</t>
        </is>
      </c>
      <c r="E83" s="201" t="inlineStr">
        <is>
          <t>2025 마약류 범죄백서 표 3-69</t>
        </is>
      </c>
      <c r="F83" s="222" t="n">
        <v>0.5</v>
      </c>
    </row>
    <row r="84" ht="15" customHeight="1" s="144">
      <c r="A84" s="182" t="n"/>
      <c r="B84" s="185" t="inlineStr">
        <is>
          <t>향정 실형 1~2년: 인원 / 구간 대표값(년)</t>
        </is>
      </c>
      <c r="C84" s="188" t="n">
        <v>837</v>
      </c>
      <c r="D84" s="185" t="inlineStr">
        <is>
          <t>명</t>
        </is>
      </c>
      <c r="E84" s="201" t="inlineStr">
        <is>
          <t>2025 마약류 범죄백서 표 3-69</t>
        </is>
      </c>
      <c r="F84" s="222" t="n">
        <v>1.5</v>
      </c>
    </row>
    <row r="85" ht="15" customHeight="1" s="144">
      <c r="A85" s="182" t="n"/>
      <c r="B85" s="185" t="inlineStr">
        <is>
          <t>향정 실형 2~3년: 인원 / 구간 대표값(년)</t>
        </is>
      </c>
      <c r="C85" s="188" t="n">
        <v>444</v>
      </c>
      <c r="D85" s="185" t="inlineStr">
        <is>
          <t>명</t>
        </is>
      </c>
      <c r="E85" s="201" t="inlineStr">
        <is>
          <t>2025 마약류 범죄백서 표 3-69</t>
        </is>
      </c>
      <c r="F85" s="222" t="n">
        <v>2.5</v>
      </c>
    </row>
    <row r="86" ht="15" customHeight="1" s="144">
      <c r="A86" s="182" t="n"/>
      <c r="B86" s="185" t="inlineStr">
        <is>
          <t>향정 실형 3~5년: 인원 / 구간 대표값(년)</t>
        </is>
      </c>
      <c r="C86" s="188" t="n">
        <v>318</v>
      </c>
      <c r="D86" s="185" t="inlineStr">
        <is>
          <t>명</t>
        </is>
      </c>
      <c r="E86" s="201" t="inlineStr">
        <is>
          <t>2025 마약류 범죄백서 표 3-69</t>
        </is>
      </c>
      <c r="F86" s="222" t="n">
        <v>4</v>
      </c>
    </row>
    <row r="87" ht="15" customHeight="1" s="144">
      <c r="A87" s="182" t="n"/>
      <c r="B87" s="185" t="inlineStr">
        <is>
          <t>향정 실형 5년 이상: 인원 / 구간 대표값(년)</t>
        </is>
      </c>
      <c r="C87" s="188" t="n">
        <v>237</v>
      </c>
      <c r="D87" s="185" t="inlineStr">
        <is>
          <t>명</t>
        </is>
      </c>
      <c r="E87" s="201" t="inlineStr">
        <is>
          <t>2025 마약류 범죄백서 표 3-69</t>
        </is>
      </c>
      <c r="F87" s="222" t="n">
        <v>6</v>
      </c>
    </row>
    <row r="88" ht="15" customHeight="1" s="144">
      <c r="A88" s="182" t="n"/>
      <c r="B88" s="185" t="inlineStr">
        <is>
          <t>평균 실형 기간(선고 기준)</t>
        </is>
      </c>
      <c r="C88" s="223">
        <f>SUMPRODUCT(C83:C87,F83:F87)/SUM(C83:C87)</f>
        <v/>
      </c>
      <c r="D88" s="185" t="inlineStr">
        <is>
          <t>년</t>
        </is>
      </c>
      <c r="E88" s="186" t="inlineStr">
        <is>
          <t>구간 대표값은 가정(노란 칸). 가석방으로 실제 복역기간은 이보다 짧음</t>
        </is>
      </c>
    </row>
    <row r="89" ht="15" customHeight="1" s="144">
      <c r="A89" s="182" t="n"/>
      <c r="B89" s="185" t="inlineStr">
        <is>
          <t>실제 복역 비율(선고 대비)</t>
        </is>
      </c>
      <c r="C89" s="192" t="n">
        <v>0.85</v>
      </c>
      <c r="D89" s="183" t="n"/>
      <c r="E89" s="186" t="inlineStr">
        <is>
          <t>가정: 가석방 등 반영. 교정통계연보 자료로 교체 필요</t>
        </is>
      </c>
    </row>
    <row r="90" ht="15" customHeight="1" s="144">
      <c r="A90" s="182" t="n"/>
      <c r="B90" s="185" t="inlineStr">
        <is>
          <t>재수용 비용 = 복역기간 × UC-01a</t>
        </is>
      </c>
      <c r="C90" s="189">
        <f>$C$88*$C$89*$C$17</f>
        <v/>
      </c>
      <c r="D90" s="185" t="inlineStr">
        <is>
          <t>원/건</t>
        </is>
      </c>
      <c r="E90" s="186" t="inlineStr">
        <is>
          <t>재복역 1건이 다시 일으키는 수용비. 복역 기간 중 할인은 생략(약간 과대)</t>
        </is>
      </c>
    </row>
    <row r="91" ht="15" customHeight="1" s="144">
      <c r="A91" s="182" t="n"/>
      <c r="B91" s="185" t="inlineStr">
        <is>
          <t>검찰 세출 결산(2024)</t>
        </is>
      </c>
      <c r="C91" s="188" t="n">
        <v>1216261000000</v>
      </c>
      <c r="D91" s="185" t="inlineStr">
        <is>
          <t>원</t>
        </is>
      </c>
      <c r="E91" s="186" t="inlineStr">
        <is>
          <t>대검찰청 정보공개 회신(hwpx)</t>
        </is>
      </c>
    </row>
    <row r="92" ht="15" customHeight="1" s="144">
      <c r="A92" s="182" t="n"/>
      <c r="B92" s="185" t="inlineStr">
        <is>
          <t>형사사건 검거인원(2024)</t>
        </is>
      </c>
      <c r="C92" s="188" t="n">
        <v>1405185</v>
      </c>
      <c r="D92" s="185" t="inlineStr">
        <is>
          <t>명</t>
        </is>
      </c>
      <c r="E92" s="186" t="inlineStr">
        <is>
          <t>같은 회신</t>
        </is>
      </c>
    </row>
    <row r="93" ht="15" customHeight="1" s="144">
      <c r="A93" s="182" t="n"/>
      <c r="B93" s="185" t="inlineStr">
        <is>
          <t>검찰 단계 1인당 비용</t>
        </is>
      </c>
      <c r="C93" s="189">
        <f>$C$91/$C$92</f>
        <v/>
      </c>
      <c r="D93" s="185" t="inlineStr">
        <is>
          <t>원/인</t>
        </is>
      </c>
      <c r="E93" s="186" t="inlineStr">
        <is>
          <t>전체 형사사건 평균. 경찰·법원 비용은 아직 없음</t>
        </is>
      </c>
    </row>
    <row r="94" ht="15" customHeight="1" s="144">
      <c r="A94" s="182" t="inlineStr">
        <is>
          <t>SCᵣ(부분)</t>
        </is>
      </c>
      <c r="B94" s="190" t="inlineStr">
        <is>
          <t>재범 1건당 형사사법 비용(재수용+검찰)</t>
        </is>
      </c>
      <c r="C94" s="191">
        <f>$C$90+$C$93</f>
        <v/>
      </c>
      <c r="D94" s="185" t="inlineStr">
        <is>
          <t>원/건</t>
        </is>
      </c>
      <c r="E94" s="186" t="inlineStr">
        <is>
          <t>의료·생산성·사회혼란·고통비용은 3장 추계 후 추가 → 지금 값은 하한</t>
        </is>
      </c>
    </row>
    <row r="96" ht="15" customHeight="1" s="144">
      <c r="A96" s="180" t="inlineStr">
        <is>
          <t>G. 판정 지표 (이수자 평균, 1인당) — B는 형사사법 부분만 반영한 하한</t>
        </is>
      </c>
      <c r="B96" s="181" t="n"/>
      <c r="C96" s="181" t="n"/>
      <c r="D96" s="181" t="n"/>
      <c r="E96" s="181" t="n"/>
    </row>
    <row r="97" ht="15" customHeight="1" s="144">
      <c r="A97" s="182" t="inlineStr">
        <is>
          <t>ΔC</t>
        </is>
      </c>
      <c r="B97" s="203" t="inlineStr">
        <is>
          <t>1인당 증분비용(평균)</t>
        </is>
      </c>
      <c r="C97" s="191">
        <f>$G$46</f>
        <v/>
      </c>
      <c r="D97" s="185" t="inlineStr">
        <is>
          <t>원/인</t>
        </is>
      </c>
      <c r="E97" s="201" t="inlineStr">
        <is>
          <t>UC-06 + UC-10(0) + UC-12(0) + ΔM×UC-02(0) → 하한</t>
        </is>
      </c>
    </row>
    <row r="98" ht="15" customHeight="1" s="144">
      <c r="A98" s="182" t="inlineStr">
        <is>
          <t>B</t>
        </is>
      </c>
      <c r="B98" s="203" t="inlineStr">
        <is>
          <t>1인당 편익(현재가치) = r0×Δr×SCᵣ×D</t>
        </is>
      </c>
      <c r="C98" s="191">
        <f>$C$70*$C$94*$C$80</f>
        <v/>
      </c>
      <c r="D98" s="185" t="inlineStr">
        <is>
          <t>원/인</t>
        </is>
      </c>
      <c r="E98" s="201" t="inlineStr">
        <is>
          <t>SCᵣ이 형사사법 부분뿐이므로 하한</t>
        </is>
      </c>
    </row>
    <row r="99" ht="15" customHeight="1" s="144">
      <c r="A99" s="182" t="inlineStr">
        <is>
          <t>B/C</t>
        </is>
      </c>
      <c r="B99" s="190" t="inlineStr">
        <is>
          <t>비용편익비율</t>
        </is>
      </c>
      <c r="C99" s="224">
        <f>$C$98/$C$97</f>
        <v/>
      </c>
      <c r="D99" s="183" t="n"/>
      <c r="E99" s="186" t="n"/>
    </row>
    <row r="100" ht="15" customHeight="1" s="144">
      <c r="A100" s="182" t="inlineStr">
        <is>
          <t>NPV</t>
        </is>
      </c>
      <c r="B100" s="185" t="inlineStr">
        <is>
          <t>순현재가치(1인당)</t>
        </is>
      </c>
      <c r="C100" s="225">
        <f>$C$98-$C$97</f>
        <v/>
      </c>
      <c r="D100" s="185" t="inlineStr">
        <is>
          <t>원/인</t>
        </is>
      </c>
      <c r="E100" s="186" t="n"/>
    </row>
    <row r="101" ht="15" customHeight="1" s="144">
      <c r="A101" s="182" t="inlineStr">
        <is>
          <t>ROI</t>
        </is>
      </c>
      <c r="B101" s="185" t="inlineStr">
        <is>
          <t>투자수익률</t>
        </is>
      </c>
      <c r="C101" s="226">
        <f>($C$98-$C$97)/$C$97</f>
        <v/>
      </c>
      <c r="D101" s="183" t="n"/>
      <c r="E101" s="186" t="n"/>
    </row>
    <row r="102" ht="15" customHeight="1" s="144">
      <c r="A102" s="182" t="inlineStr">
        <is>
          <t>Δr*</t>
        </is>
      </c>
      <c r="B102" s="190" t="inlineStr">
        <is>
          <t>손익분기 재범감소폭 = ΔC/(r0×SCᵣ×D)</t>
        </is>
      </c>
      <c r="C102" s="218">
        <f>$C$97/($C$67*$C$94*$C$80)</f>
        <v/>
      </c>
      <c r="D102" s="183" t="n"/>
      <c r="E102" s="186" t="inlineStr">
        <is>
          <t>이 값보다 실제 Δr이 크면 B/C ≥ 1</t>
        </is>
      </c>
    </row>
    <row r="103" ht="15" customHeight="1" s="144">
      <c r="A103" s="182" t="inlineStr">
        <is>
          <t>SCᵣ*</t>
        </is>
      </c>
      <c r="B103" s="190" t="inlineStr">
        <is>
          <t>손익분기 재범 1건당 사회적 비용 = ΔC/(r0×Δr×D)</t>
        </is>
      </c>
      <c r="C103" s="191">
        <f>$C$97/($C$70*$C$80)</f>
        <v/>
      </c>
      <c r="D103" s="185" t="inlineStr">
        <is>
          <t>원/건</t>
        </is>
      </c>
      <c r="E103" s="201" t="inlineStr">
        <is>
          <t>3장 SCᵣ가 이 값을 넘으면 B/C ≥ 1</t>
        </is>
      </c>
    </row>
    <row r="104" ht="15" customHeight="1" s="144">
      <c r="A104" s="212" t="inlineStr">
        <is>
          <t>총량</t>
        </is>
      </c>
      <c r="B104" s="183" t="inlineStr">
        <is>
          <t>2025 이수자 전체 증분비용</t>
        </is>
      </c>
      <c r="C104" s="189">
        <f>$C$97*$C$46</f>
        <v/>
      </c>
      <c r="D104" s="185" t="inlineStr">
        <is>
          <t>원</t>
        </is>
      </c>
      <c r="E104" s="201" t="inlineStr">
        <is>
          <t>PG 비용풀(+UC-10·12 반영분)과 같음</t>
        </is>
      </c>
    </row>
    <row r="105" ht="15" customHeight="1" s="144">
      <c r="A105" s="212" t="inlineStr">
        <is>
          <t>총량</t>
        </is>
      </c>
      <c r="B105" s="183" t="inlineStr">
        <is>
          <t>2025 이수자 전체 편익(하한)</t>
        </is>
      </c>
      <c r="C105" s="189">
        <f>$C$98*$C$46</f>
        <v/>
      </c>
      <c r="D105" s="185" t="inlineStr">
        <is>
          <t>원</t>
        </is>
      </c>
      <c r="E105" s="186" t="n"/>
    </row>
    <row r="107" ht="15" customHeight="1" s="144">
      <c r="A107" s="180" t="inlineStr">
        <is>
          <t>H. 민감도 — Δr 시나리오(상대 감소율)별 B/C (다른 값은 위와 동일)</t>
        </is>
      </c>
      <c r="B107" s="181" t="n"/>
      <c r="C107" s="181" t="n"/>
      <c r="D107" s="181" t="n"/>
      <c r="E107" s="181" t="n"/>
    </row>
    <row r="108" ht="15" customHeight="1" s="144">
      <c r="A108" s="182" t="inlineStr">
        <is>
          <t>Δr</t>
        </is>
      </c>
      <c r="B108" s="185" t="inlineStr">
        <is>
          <t>보수</t>
        </is>
      </c>
      <c r="C108" s="220" t="n">
        <v>0.1</v>
      </c>
      <c r="D108" s="183" t="n"/>
      <c r="E108" s="201" t="inlineStr">
        <is>
          <t>B/C →</t>
        </is>
      </c>
      <c r="F108" s="227">
        <f>$C$67*C108*$C$94*$C$80/$C$97</f>
        <v/>
      </c>
    </row>
    <row r="109" ht="15" customHeight="1" s="144">
      <c r="A109" s="182" t="inlineStr">
        <is>
          <t>Δr</t>
        </is>
      </c>
      <c r="B109" s="185" t="inlineStr">
        <is>
          <t>기본(논문 단순비교)</t>
        </is>
      </c>
      <c r="C109" s="219">
        <f>$C$69</f>
        <v/>
      </c>
      <c r="D109" s="183" t="n"/>
      <c r="E109" s="201" t="inlineStr">
        <is>
          <t>B/C →</t>
        </is>
      </c>
      <c r="F109" s="227">
        <f>$C$67*C109*$C$94*$C$80/$C$97</f>
        <v/>
      </c>
    </row>
    <row r="110" ht="15" customHeight="1" s="144">
      <c r="A110" s="182" t="inlineStr">
        <is>
          <t>Δr</t>
        </is>
      </c>
      <c r="B110" s="185" t="inlineStr">
        <is>
          <t>중간</t>
        </is>
      </c>
      <c r="C110" s="220" t="n">
        <v>0.25</v>
      </c>
      <c r="D110" s="183" t="n"/>
      <c r="E110" s="201" t="inlineStr">
        <is>
          <t>B/C →</t>
        </is>
      </c>
      <c r="F110" s="227">
        <f>$C$67*C110*$C$94*$C$80/$C$97</f>
        <v/>
      </c>
    </row>
    <row r="111" ht="15" customHeight="1" s="144">
      <c r="A111" s="182" t="inlineStr">
        <is>
          <t>Δr</t>
        </is>
      </c>
      <c r="B111" s="185" t="inlineStr">
        <is>
          <t>낙관</t>
        </is>
      </c>
      <c r="C111" s="220" t="n">
        <v>0.4</v>
      </c>
      <c r="D111" s="183" t="n"/>
      <c r="E111" s="201" t="inlineStr">
        <is>
          <t>B/C →</t>
        </is>
      </c>
      <c r="F111" s="227">
        <f>$C$67*C111*$C$94*$C$80/$C$97</f>
        <v/>
      </c>
    </row>
  </sheetData>
  <mergeCells count="2">
    <mergeCell ref="A2:E2"/>
    <mergeCell ref="H25:J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24" customWidth="1" style="143" min="1" max="1"/>
    <col width="12" customWidth="1" style="143" min="2" max="2"/>
    <col width="46" customWidth="1" style="143" min="3" max="3"/>
    <col width="26" customWidth="1" style="143" min="4" max="4"/>
    <col width="70" customWidth="1" style="143" min="5" max="5"/>
    <col width="24" customWidth="1" style="143" min="6" max="6"/>
  </cols>
  <sheetData>
    <row r="1" ht="16.15" customHeight="1" s="144">
      <c r="A1" s="169" t="inlineStr">
        <is>
          <t>내용이 긴 자료의 반영 범위 검토</t>
        </is>
      </c>
    </row>
    <row r="2" ht="15" customHeight="1" s="144">
      <c r="A2" s="170" t="inlineStr">
        <is>
          <t>보고서 초안과 백서는 전체를 반영하지 않고 아래 범위만 씁니다.</t>
        </is>
      </c>
    </row>
    <row r="4" ht="15" customHeight="1" s="144">
      <c r="A4" s="171" t="inlineStr">
        <is>
          <t>자료</t>
        </is>
      </c>
      <c r="B4" s="171" t="inlineStr">
        <is>
          <t>분량</t>
        </is>
      </c>
      <c r="C4" s="171" t="inlineStr">
        <is>
          <t>반영할 부분</t>
        </is>
      </c>
      <c r="D4" s="171" t="inlineStr">
        <is>
          <t>반영 위치</t>
        </is>
      </c>
      <c r="E4" s="171" t="inlineStr">
        <is>
          <t>주의·수정할 점</t>
        </is>
      </c>
      <c r="F4" s="171" t="inlineStr">
        <is>
          <t>이번 계산 반영</t>
        </is>
      </c>
    </row>
    <row r="5" ht="179.1" customHeight="1" s="144">
      <c r="A5" s="173" t="inlineStr">
        <is>
          <t>보고서 초안(10.18, hwpx)</t>
        </is>
      </c>
      <c r="B5" s="173" t="inlineStr">
        <is>
          <t>약 9.6만 자, 6개 장</t>
        </is>
      </c>
      <c r="C5" s="172" t="inlineStr">
        <is>
          <t>4장 1~2절의 수용·재활 현황과 원가 서술은 회신값과 대부분 일치하므로 유지. 재활교육 4단계 이수 현황표, 전담인력 구성, 1인당 수용비(2,396만 원) 서술</t>
        </is>
      </c>
      <c r="D5" s="173" t="inlineStr">
        <is>
          <t>보고서 4장 1~2절</t>
        </is>
      </c>
      <c r="E5" s="172" t="inlineStr">
        <is>
          <t>① 2장 4절 2-2)의 CBA 방정식이 구 제안서 산식(B단약 등 4개 편익, PSM·DID)이라 인계 메모 산식으로 교체 필요
② 4장 표2의 비목별 금액(19.8억·18.2억·22.0억)은 "추정"으로 적혀 있으나 근거가 없고 회신은 비목 산출 불가 → 삭제
③ "투입 대비 6배 이상 절감, 압도적 경제성 입증" 문장은 계산 근거 없음 → 삭제 또는 본 시트 결과로 교체
④ 4장 3절 1항 "단약 편익"은 인계 메모에서 삭제하기로 한 항목
⑤ 김도균·나종민(2025)을 "성향점수 적용"으로 인용했으나 실제는 로지스틱·Cox 회귀(통제변수 투입). 로지스틱 결과는 비유의(p=.066)
⑥ 재범률 "2023 34.2%→2025 35.3%"는 백서 표 3-89(32.8%·34.5%·29.8%)와 다름 → 출처 확인
⑦ 이수율 21.4%는 연간 이수 인원÷연말 현원으로 분모 성격이 다름(흐름÷재고). 마약류 출소 인원 회신 후 재산정
⑧ 2026년 신설 인력 인건비를 2025년 원가에 합산한 점을 명시</t>
        </is>
      </c>
      <c r="F5" s="173" t="inlineStr">
        <is>
          <t>초안 수치는 대조용으로만 사용</t>
        </is>
      </c>
    </row>
    <row r="6" ht="39.55" customHeight="1" s="144">
      <c r="A6" s="172" t="inlineStr">
        <is>
          <t>2025 마약류 범죄백서 3장 국내 동향(PDF)</t>
        </is>
      </c>
      <c r="B6" s="172" t="inlineStr">
        <is>
          <t>180쪽, 표 91개</t>
        </is>
      </c>
      <c r="C6" s="173" t="inlineStr">
        <is>
          <t>표 3-1(2025 단속 23,403명), 표 3-21·26(5년 단속·연령), 표 3-55(검찰 처분), 표 3-65·69(실형률·실형 기간 분포), 표 3-82~88(치료보호·치료감호·조건부 기소유예), 표 3-89·90(재범률)</t>
        </is>
      </c>
      <c r="D6" s="173" t="inlineStr">
        <is>
          <t>보고서 1장·2장 현황, 3장 형사사법비용·SCᵣ, 5장 정책 제언(치료 연계 실적)</t>
        </is>
      </c>
      <c r="E6" s="173" t="inlineStr">
        <is>
          <t>나머지(청별·월별·지역별·압수량·밀수 사례·국제공조)는 본 모형 변수와 무관하므로 인용만. 재범률은 "입건 전과 기준"이라 교정 재복역률(r0)과 정의가 다름</t>
        </is>
      </c>
      <c r="F6" s="173" t="inlineStr">
        <is>
          <t>표 3-69 향정 실형 기간 분포 → 평균 실형 2.45년(재수용 비용)</t>
        </is>
      </c>
    </row>
    <row r="7" ht="26.85" customHeight="1" s="144">
      <c r="A7" s="172" t="inlineStr">
        <is>
          <t>2025 마약류 범죄백서 4장 국제 동향(PDF)</t>
        </is>
      </c>
      <c r="B7" s="172" t="inlineStr">
        <is>
          <t>86쪽</t>
        </is>
      </c>
      <c r="C7" s="172" t="inlineStr">
        <is>
          <t>1절 세계 동향 중 UNODC 2025 수치(약물사용장애 6,400만 명, 치료율 8.1%)만</t>
        </is>
      </c>
      <c r="D7" s="173" t="inlineStr">
        <is>
          <t>보고서 1장 배경(국제 규범·치료 접근성)</t>
        </is>
      </c>
      <c r="E7" s="173" t="inlineStr">
        <is>
          <t>국제협약·공조수사 사례(2~4절)는 비용 모형과 무관 → 반영하지 않음</t>
        </is>
      </c>
      <c r="F7" s="173" t="inlineStr">
        <is>
          <t>반영 없음</t>
        </is>
      </c>
    </row>
    <row r="8" ht="39.55" customHeight="1" s="144">
      <c r="A8" s="173" t="inlineStr">
        <is>
          <t>김도균·나종민(2025), 형사정책연구 36(1)</t>
        </is>
      </c>
      <c r="B8" s="172" t="inlineStr">
        <is>
          <t>35쪽</t>
        </is>
      </c>
      <c r="C8" s="173" t="inlineStr">
        <is>
          <t>표5 이수·미이수별 재복역(439/178, 492/247), 표6 Cox 위험비 0.805(p&lt;.05), 표3 로지스틱 오즈비 0.768(p=.066), 2018 출소자 3년 내 재복역률 36.3%, 표본 기술통계</t>
        </is>
      </c>
      <c r="D8" s="173" t="inlineStr">
        <is>
          <t>모형 r0·r1·Δr 임시값, 효과 추정 방법 서술(4장 3절), 서식9·10 대체 근거</t>
        </is>
      </c>
      <c r="E8" s="173" t="inlineStr">
        <is>
          <t>①구 과정(기본 16·집중 26·심화 134시간) 대상이라 현행 40~160시간 과정에 그대로 쓰면 효과 과소 또는 과대 가능 ②향정·65세 이하·한국인 한정 ③추적 5~6.7년 누적이라 "3년 내" 정의와 다름 ④미이수 집단에 중도탈락 포함 여부 불명</t>
        </is>
      </c>
      <c r="F8" s="172" t="inlineStr">
        <is>
          <t>r0=50.2%, Δr=19.2%, 3년 내 비중 79.6%(hₜ 가정)</t>
        </is>
      </c>
    </row>
    <row r="9" ht="15" customHeight="1" s="144">
      <c r="A9" s="173" t="inlineStr">
        <is>
          <t>대검찰청 정보공개 회신(hwpx)</t>
        </is>
      </c>
      <c r="B9" s="172" t="inlineStr">
        <is>
          <t>1쪽</t>
        </is>
      </c>
      <c r="C9" s="173" t="inlineStr">
        <is>
          <t>검찰청 세출 결산, 2024 형사사건 검거인원, 마약류 검거 건수·인원</t>
        </is>
      </c>
      <c r="D9" s="172" t="inlineStr">
        <is>
          <t>3장 형사사법비용(검찰 단계), SCᵣ</t>
        </is>
      </c>
      <c r="E9" s="172" t="inlineStr">
        <is>
          <t>2025 전체 형사사건은 빈칸. 교정영역 질문지는 미회신 상태</t>
        </is>
      </c>
      <c r="F9" s="173" t="inlineStr">
        <is>
          <t>검찰 1인당 비용 86.6만 원</t>
        </is>
      </c>
    </row>
    <row r="10" ht="15" customHeight="1" s="144">
      <c r="A10" s="173" t="inlineStr">
        <is>
          <t>자료요청 2차 회신(hwpx)</t>
        </is>
      </c>
      <c r="B10" s="172" t="inlineStr">
        <is>
          <t>1쪽</t>
        </is>
      </c>
      <c r="C10" s="173" t="inlineStr">
        <is>
          <t>항목별 담당 부서, 교도소 일반회계 총결산 2024·2025</t>
        </is>
      </c>
      <c r="D10" s="173" t="inlineStr">
        <is>
          <t>요청표 소관 갱신, UC-01b</t>
        </is>
      </c>
      <c r="E10" s="172" t="inlineStr">
        <is>
          <t>-</t>
        </is>
      </c>
      <c r="F10" s="172" t="inlineStr">
        <is>
          <t>UC-01b 상한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1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I11" activeCellId="0" sqref="I11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4"/>
    <col width="14" customWidth="1" style="143" min="5" max="5"/>
    <col width="30" customWidth="1" style="143" min="6" max="6"/>
  </cols>
  <sheetData>
    <row r="1" ht="24" customHeight="1" s="144">
      <c r="A1" s="152" t="inlineStr">
        <is>
          <t>서식 1.  교정 분야 세출예산 집행내역</t>
        </is>
      </c>
    </row>
    <row r="2" ht="15" customHeight="1" s="144">
      <c r="A2" s="228" t="inlineStr">
        <is>
          <t>무엇에 쓰나요</t>
        </is>
      </c>
      <c r="B2" s="229" t="inlineStr">
        <is>
          <t>수용자 1인당 원가를 계산할 때 나눗셈의 위쪽(총액)이 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재정정보시스템(dBrain) 세부사업별 집행액 조회, 또는 법무부 결산서·사업설명자료.</t>
        </is>
      </c>
    </row>
    <row r="4" ht="30" customHeight="1" s="144">
      <c r="A4" s="230" t="inlineStr">
        <is>
          <t>꼭 봐주세요</t>
        </is>
      </c>
      <c r="B4" s="231" t="inlineStr">
        <is>
          <t>예산액이 아니라 집행액(결산액)을 적어 주십시오. 최근 의료비처럼 집행률이 100%를 크게 넘는 항목이 있어, 예산액으로는 실제 원가를 알 수 없습니다.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2025년</t>
        </is>
      </c>
      <c r="E6" s="154" t="inlineStr">
        <is>
          <t>산출 가능 여부</t>
        </is>
      </c>
      <c r="F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급식비 집행액</t>
        </is>
      </c>
      <c r="C7" s="235" t="inlineStr">
        <is>
          <t>원</t>
        </is>
      </c>
      <c r="D7" s="236" t="n">
        <v>121363000000</v>
      </c>
      <c r="E7" s="237" t="inlineStr">
        <is>
          <t>회신(복지과, 26.9.7)</t>
        </is>
      </c>
      <c r="F7" s="159" t="inlineStr">
        <is>
          <t>IN-C-02  급식비</t>
        </is>
      </c>
    </row>
    <row r="8" ht="25.5" customHeight="1" s="144">
      <c r="A8" s="233" t="n">
        <v>2</v>
      </c>
      <c r="B8" s="234" t="inlineStr">
        <is>
          <t>피복·침구비(의류비) 집행액</t>
        </is>
      </c>
      <c r="C8" s="235" t="inlineStr">
        <is>
          <t>원</t>
        </is>
      </c>
      <c r="D8" s="236" t="n">
        <v>7721000000</v>
      </c>
      <c r="E8" s="237" t="inlineStr">
        <is>
          <t>회신(복지과, 26.9.7)</t>
        </is>
      </c>
      <c r="F8" s="159" t="inlineStr">
        <is>
          <t>IN-C-03  피복비</t>
        </is>
      </c>
    </row>
    <row r="9" ht="25.5" customHeight="1" s="144">
      <c r="A9" s="233" t="n">
        <v>3</v>
      </c>
      <c r="B9" s="234" t="inlineStr">
        <is>
          <t>공공요금(전기·수도·가스·연료)</t>
        </is>
      </c>
      <c r="C9" s="235" t="inlineStr">
        <is>
          <t>원</t>
        </is>
      </c>
      <c r="D9" s="236" t="n">
        <v>125514000000</v>
      </c>
      <c r="E9" s="237" t="inlineStr">
        <is>
          <t>회신(복지과, 26.9.7)</t>
        </is>
      </c>
      <c r="F9" s="159" t="inlineStr">
        <is>
          <t>IN-C-04  공공요금</t>
        </is>
      </c>
    </row>
    <row r="10" ht="25.5" customHeight="1" s="144">
      <c r="A10" s="233" t="n">
        <v>4</v>
      </c>
      <c r="B10" s="234" t="inlineStr">
        <is>
          <t>일반수용비·기타 물건비</t>
        </is>
      </c>
      <c r="C10" s="235" t="inlineStr">
        <is>
          <t>원</t>
        </is>
      </c>
      <c r="D10" s="236" t="n">
        <v>8395000000</v>
      </c>
      <c r="E10" s="237" t="inlineStr">
        <is>
          <t>회신(복지과, 26.9.7)</t>
        </is>
      </c>
      <c r="F10" s="159" t="inlineStr">
        <is>
          <t>IN-C-05  일반운영비</t>
        </is>
      </c>
    </row>
    <row r="11" ht="25.5" customHeight="1" s="144">
      <c r="A11" s="233" t="n">
        <v>5</v>
      </c>
      <c r="B11" s="234" t="inlineStr">
        <is>
          <t>「교도소운영 인건비」 사업 집행액</t>
        </is>
      </c>
      <c r="C11" s="235" t="inlineStr">
        <is>
          <t>원</t>
        </is>
      </c>
      <c r="D11" s="236" t="n">
        <v>1163188000000</v>
      </c>
      <c r="E11" s="237" t="inlineStr">
        <is>
          <t>회신(복지과, 26.9.7)</t>
        </is>
      </c>
      <c r="F11" s="159" t="inlineStr">
        <is>
          <t>IN-C-06  인건비</t>
        </is>
      </c>
    </row>
    <row r="12" ht="25.5" customHeight="1" s="144">
      <c r="A12" s="233" t="n">
        <v>6</v>
      </c>
      <c r="B12" s="234" t="inlineStr">
        <is>
          <t>「교정·교화」 사업 집행액</t>
        </is>
      </c>
      <c r="C12" s="235" t="inlineStr">
        <is>
          <t>원</t>
        </is>
      </c>
      <c r="D12" s="236" t="n">
        <v>11228000000</v>
      </c>
      <c r="E12" s="237" t="inlineStr">
        <is>
          <t>회신(복지과, 26.9.7)</t>
        </is>
      </c>
      <c r="F12" s="159" t="inlineStr">
        <is>
          <t>PG-C-01  교화 총괄</t>
        </is>
      </c>
    </row>
    <row r="13" ht="25.5" customHeight="1" s="144">
      <c r="A13" s="233" t="n">
        <v>7</v>
      </c>
      <c r="B13" s="234" t="inlineStr">
        <is>
          <t>「교정시설장비 운용 및 현대화」 집행액</t>
        </is>
      </c>
      <c r="C13" s="235" t="inlineStr">
        <is>
          <t>원</t>
        </is>
      </c>
      <c r="D13" s="236" t="n">
        <v>83719000000</v>
      </c>
      <c r="E13" s="237" t="inlineStr">
        <is>
          <t>회신(복지과, 26.9.7)</t>
        </is>
      </c>
      <c r="F13" s="159" t="inlineStr">
        <is>
          <t>IN-C-08  시설장비</t>
        </is>
      </c>
    </row>
    <row r="14" ht="25.5" customHeight="1" s="144">
      <c r="A14" s="233" t="n">
        <v>8</v>
      </c>
      <c r="B14" s="234" t="inlineStr">
        <is>
          <t>「교정시설 취득」(신·증축) 집행액</t>
        </is>
      </c>
      <c r="C14" s="235" t="inlineStr">
        <is>
          <t>원</t>
        </is>
      </c>
      <c r="D14" s="238" t="n"/>
      <c r="E14" s="239" t="inlineStr">
        <is>
          <t>미회신</t>
        </is>
      </c>
      <c r="F14" s="159" t="inlineStr">
        <is>
          <t>IN-C-09  자본</t>
        </is>
      </c>
    </row>
    <row r="15" ht="25.5" customHeight="1" s="144">
      <c r="A15" s="233" t="n">
        <v>9</v>
      </c>
      <c r="B15" s="234" t="inlineStr">
        <is>
          <t>교정본부·지방교정청 운영비 및 인건비</t>
        </is>
      </c>
      <c r="C15" s="235" t="inlineStr">
        <is>
          <t>원</t>
        </is>
      </c>
      <c r="D15" s="236" t="n">
        <v>4690000000</v>
      </c>
      <c r="E15" s="237" t="inlineStr">
        <is>
          <t>회신(복지과, 26.9.7)</t>
        </is>
      </c>
      <c r="F15" s="159" t="inlineStr">
        <is>
          <t>IN-C-10  공통관리비</t>
        </is>
      </c>
    </row>
    <row r="16" ht="25.5" customHeight="1" s="144">
      <c r="A16" s="233" t="n">
        <v>10</v>
      </c>
      <c r="B16" s="234" t="inlineStr">
        <is>
          <t>교도작업특별회계 세출 결산액</t>
        </is>
      </c>
      <c r="C16" s="235" t="inlineStr">
        <is>
          <t>원</t>
        </is>
      </c>
      <c r="D16" s="238" t="n"/>
      <c r="E16" s="239" t="inlineStr">
        <is>
          <t>미회신</t>
        </is>
      </c>
      <c r="F16" s="159" t="inlineStr">
        <is>
          <t>IN-C-11  특별회계</t>
        </is>
      </c>
    </row>
    <row r="17" ht="15" customHeight="1" s="144">
      <c r="B17" s="240" t="inlineStr">
        <is>
          <t>예시)  2022년 급식비 = 89,594,299,410 원</t>
        </is>
      </c>
    </row>
    <row r="19" ht="15" customHeight="1" s="144">
      <c r="A19" s="241" t="inlineStr">
        <is>
          <t>산출이 어려운 항목의 이유 (한 줄이면 충분합니다)</t>
        </is>
      </c>
    </row>
    <row r="20" ht="15" customHeight="1" s="144">
      <c r="A20" s="237" t="inlineStr">
        <is>
          <t>회신 없음: 8번(교정시설 취득)·10번(교도작업특별회계). 별도 회신(hwpx): 교도소 일반회계 세출 결산 2024년 1,674,128,000,000원, 2025년 1,699,217,000,000원.</t>
        </is>
      </c>
      <c r="B20" s="242" t="n"/>
      <c r="C20" s="242" t="n"/>
      <c r="D20" s="242" t="n"/>
      <c r="E20" s="242" t="n"/>
      <c r="F20" s="242" t="n"/>
      <c r="G20" s="242" t="n"/>
    </row>
    <row r="21" ht="15" customHeight="1" s="144">
      <c r="A21" s="242" t="n"/>
      <c r="B21" s="242" t="n"/>
      <c r="C21" s="242" t="n"/>
      <c r="D21" s="242" t="n"/>
      <c r="E21" s="242" t="n"/>
      <c r="F21" s="242" t="n"/>
      <c r="G21" s="242" t="n"/>
    </row>
    <row r="22" ht="15" customHeight="1" s="144">
      <c r="A22" s="242" t="n"/>
      <c r="B22" s="242" t="n"/>
      <c r="C22" s="242" t="n"/>
      <c r="D22" s="242" t="n"/>
      <c r="E22" s="242" t="n"/>
      <c r="F22" s="242" t="n"/>
      <c r="G22" s="242" t="n"/>
    </row>
    <row r="23" ht="15" customHeight="1" s="144">
      <c r="A23" s="153" t="inlineStr">
        <is>
          <t>※ 세목 단위로 나누기 어려우시면 세부사업 총액만 적어 주셔도 됩니다. 일반회계와 교도작업특별회계는 꼭 구분해 주십시오.</t>
        </is>
      </c>
    </row>
  </sheetData>
  <mergeCells count="5">
    <mergeCell ref="B3:G3"/>
    <mergeCell ref="B2:G2"/>
    <mergeCell ref="A1:G1"/>
    <mergeCell ref="B4:G4"/>
    <mergeCell ref="A19:G19"/>
  </mergeCells>
  <dataValidations count="1">
    <dataValidation sqref="E7:E16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1"/>
  </sheetPr>
  <dimension ref="A1:G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8" topLeftCell="D40" activePane="bottomRight" state="frozen"/>
      <selection pane="topLeft" activeCell="A1" activeCellId="0" sqref="A1"/>
      <selection pane="topRight" activeCell="D1" activeCellId="0" sqref="D1"/>
      <selection pane="bottomLeft" activeCell="A40" activeCellId="0" sqref="A40"/>
      <selection pane="bottomRight" activeCell="A48" activeCellId="0" sqref="A48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4"/>
    <col width="14" customWidth="1" style="143" min="5" max="5"/>
    <col width="30" customWidth="1" style="143" min="6" max="6"/>
  </cols>
  <sheetData>
    <row r="1" ht="24" customHeight="1" s="144">
      <c r="A1" s="152" t="inlineStr">
        <is>
          <t>서식 2.  수용인원 현황</t>
        </is>
      </c>
    </row>
    <row r="2" ht="15" customHeight="1" s="144">
      <c r="A2" s="228" t="inlineStr">
        <is>
          <t>무엇에 쓰나요</t>
        </is>
      </c>
      <c r="B2" s="229" t="inlineStr">
        <is>
          <t>서식 1의 총액을 나눌 인원입니다. 이 값이 있어야 1인당 금액이 나옵니다.</t>
        </is>
      </c>
    </row>
    <row r="3" ht="15" customHeight="1" s="144">
      <c r="A3" s="228" t="inlineStr">
        <is>
          <t>어디서 나오나요</t>
        </is>
      </c>
      <c r="B3" s="229" t="inlineStr">
        <is>
          <t>교정통계연보 제Ⅱ편(수용 현황), e-나라지표 「교정시설 1일 평균 수용인원」, 내부 행정통계.</t>
        </is>
      </c>
    </row>
    <row r="4" ht="30" customHeight="1" s="144">
      <c r="A4" s="230" t="inlineStr">
        <is>
          <t>꼭 봐주세요</t>
        </is>
      </c>
      <c r="B4" s="243" t="inlineStr">
        <is>
          <t>'1일 평균 수용인원'과 '연말 재적인원'은 값이 다릅니다. 가능하면 1일 평균으로 부탁드립니다.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2025년</t>
        </is>
      </c>
      <c r="E6" s="154" t="inlineStr">
        <is>
          <t>산출 가능 여부</t>
        </is>
      </c>
      <c r="F6" s="154" t="inlineStr">
        <is>
          <t>비고 (모델 KEY)</t>
        </is>
      </c>
    </row>
    <row r="7" ht="25.5" customHeight="1" s="144">
      <c r="A7" s="233" t="n">
        <v>1</v>
      </c>
      <c r="B7" s="244" t="inlineStr">
        <is>
          <t>1일 평균 수용인원 (전국)</t>
        </is>
      </c>
      <c r="C7" s="235" t="inlineStr">
        <is>
          <t>명</t>
        </is>
      </c>
      <c r="D7" s="236" t="n">
        <v>63680</v>
      </c>
      <c r="E7" s="237" t="inlineStr">
        <is>
          <t>회신(보안과)</t>
        </is>
      </c>
      <c r="F7" s="159" t="inlineStr">
        <is>
          <t>IN-N-01  수용 분모</t>
        </is>
      </c>
    </row>
    <row r="8" ht="25.5" customHeight="1" s="144">
      <c r="A8" s="233" t="n">
        <v>2</v>
      </c>
      <c r="B8" s="234" t="inlineStr">
        <is>
          <t>수용 연인원 (인·일)</t>
        </is>
      </c>
      <c r="C8" s="235" t="inlineStr">
        <is>
          <t>인·일</t>
        </is>
      </c>
      <c r="D8" s="238" t="n"/>
      <c r="E8" s="239" t="inlineStr">
        <is>
          <t>미회신: 회신값 64,626명은 25.12.31 연말 현원(연인원 아님)</t>
        </is>
      </c>
      <c r="F8" s="159" t="inlineStr">
        <is>
          <t>IN-N-03  기간비례 분모</t>
        </is>
      </c>
    </row>
    <row r="9" ht="25.5" customHeight="1" s="144">
      <c r="A9" s="233" t="n">
        <v>3</v>
      </c>
      <c r="B9" s="234" t="inlineStr">
        <is>
          <t>수용정원</t>
        </is>
      </c>
      <c r="C9" s="235" t="inlineStr">
        <is>
          <t>명</t>
        </is>
      </c>
      <c r="D9" s="236" t="n">
        <v>50614</v>
      </c>
      <c r="E9" s="237" t="inlineStr">
        <is>
          <t>회신(보안과)</t>
        </is>
      </c>
      <c r="F9" s="159" t="inlineStr">
        <is>
          <t>IN-N-07  과밀도</t>
        </is>
      </c>
    </row>
    <row r="10" ht="25.5" customHeight="1" s="144">
      <c r="A10" s="233" t="n">
        <v>4</v>
      </c>
      <c r="B10" s="234" t="inlineStr">
        <is>
          <t>수용률</t>
        </is>
      </c>
      <c r="C10" s="233" t="inlineStr">
        <is>
          <t>%</t>
        </is>
      </c>
      <c r="D10" s="245" t="n">
        <v>125.8</v>
      </c>
      <c r="E10" s="237" t="inlineStr">
        <is>
          <t>회신(보안과)</t>
        </is>
      </c>
      <c r="F10" s="159" t="inlineStr">
        <is>
          <t>IN-N-07  과밀도</t>
        </is>
      </c>
    </row>
    <row r="11" ht="25.5" customHeight="1" s="144">
      <c r="A11" s="233" t="n">
        <v>5</v>
      </c>
      <c r="B11" s="234" t="inlineStr">
        <is>
          <t>연간 신입 인원</t>
        </is>
      </c>
      <c r="C11" s="235" t="inlineStr">
        <is>
          <t>명</t>
        </is>
      </c>
      <c r="D11" s="236" t="n">
        <v>101115</v>
      </c>
      <c r="E11" s="237" t="inlineStr">
        <is>
          <t>회신(보안과)</t>
        </is>
      </c>
      <c r="F11" s="159" t="inlineStr">
        <is>
          <t>IN-N-08  회전</t>
        </is>
      </c>
    </row>
    <row r="12" ht="25.5" customHeight="1" s="144">
      <c r="A12" s="233" t="n">
        <v>6</v>
      </c>
      <c r="B12" s="234" t="inlineStr">
        <is>
          <t>연간 출소 인원</t>
        </is>
      </c>
      <c r="C12" s="235" t="inlineStr">
        <is>
          <t>명</t>
        </is>
      </c>
      <c r="D12" s="236" t="n">
        <v>68619</v>
      </c>
      <c r="E12" s="237" t="inlineStr">
        <is>
          <t>회신(보안과)</t>
        </is>
      </c>
      <c r="F12" s="159" t="inlineStr">
        <is>
          <t>IN-N-08  회전</t>
        </is>
      </c>
    </row>
    <row r="13" ht="15" customHeight="1" s="144">
      <c r="B13" s="240" t="inlineStr">
        <is>
          <t>예시)  2022년 1일 평균 수용인원 = 51,117 명</t>
        </is>
      </c>
    </row>
    <row r="15" ht="16.5" customHeight="1" s="144">
      <c r="A15" s="246" t="inlineStr">
        <is>
          <t>[추가] 기관별 1일 평균 수용인원  (있으시면 부탁드립니다)</t>
        </is>
      </c>
    </row>
    <row r="16" ht="15" customHeight="1" s="144">
      <c r="A16" s="153" t="inlineStr">
        <is>
          <t>기관 간 비교로 '수용인원이 한 명 줄면 실제로 얼마가 절감되는지'를 추정합니다. 없으시면 건너뛰셔도 됩니다.</t>
        </is>
      </c>
    </row>
    <row r="18" ht="33.75" customHeight="1" s="144">
      <c r="A18" s="154" t="inlineStr">
        <is>
          <t>번호</t>
        </is>
      </c>
      <c r="B18" s="154" t="inlineStr">
        <is>
          <t>요청 항목</t>
        </is>
      </c>
      <c r="C18" s="154" t="inlineStr">
        <is>
          <t>단위</t>
        </is>
      </c>
      <c r="D18" s="232" t="inlineStr">
        <is>
          <t>2025년</t>
        </is>
      </c>
      <c r="E18" s="154" t="inlineStr">
        <is>
          <t>산출 가능 여부</t>
        </is>
      </c>
      <c r="F18" s="154" t="inlineStr">
        <is>
          <t>비고 (모델 KEY)</t>
        </is>
      </c>
    </row>
    <row r="19" ht="25.5" customHeight="1" s="144">
      <c r="A19" s="233" t="n">
        <v>1</v>
      </c>
      <c r="B19" s="247" t="inlineStr">
        <is>
          <t>기관별 54개 기관 값은 「서식2-기관별(회신)」 시트로 옮김</t>
        </is>
      </c>
      <c r="C19" s="235" t="inlineStr">
        <is>
          <t>명</t>
        </is>
      </c>
      <c r="D19" s="238" t="n"/>
      <c r="E19" s="242" t="n"/>
      <c r="F19" s="159" t="inlineStr">
        <is>
          <t>IN-N-02  기관별 분모</t>
        </is>
      </c>
    </row>
    <row r="20" ht="15" customHeight="1" s="144">
      <c r="A20" s="242" t="n"/>
      <c r="B20" s="242" t="n"/>
      <c r="C20" s="242" t="n"/>
      <c r="D20" s="242" t="n"/>
      <c r="E20" s="242" t="n"/>
      <c r="F20" s="248" t="inlineStr">
        <is>
          <t>IN-N-02  기관별 분모</t>
        </is>
      </c>
    </row>
    <row r="21" ht="15" customHeight="1" s="144">
      <c r="A21" s="242" t="n"/>
      <c r="B21" s="242" t="n"/>
      <c r="C21" s="242" t="n"/>
      <c r="D21" s="242" t="n"/>
      <c r="E21" s="242" t="n"/>
      <c r="F21" s="248" t="inlineStr">
        <is>
          <t>IN-N-02  기관별 분모</t>
        </is>
      </c>
    </row>
    <row r="22" ht="15" customHeight="1" s="144">
      <c r="A22" s="242" t="n"/>
      <c r="B22" s="242" t="n"/>
      <c r="C22" s="242" t="n"/>
      <c r="D22" s="242" t="n"/>
      <c r="E22" s="242" t="n"/>
      <c r="F22" s="248" t="inlineStr">
        <is>
          <t>IN-N-02  기관별 분모</t>
        </is>
      </c>
    </row>
    <row r="23" ht="15" customHeight="1" s="144">
      <c r="A23" s="242" t="n"/>
      <c r="B23" s="242" t="n"/>
      <c r="C23" s="242" t="n"/>
      <c r="D23" s="242" t="n"/>
      <c r="E23" s="242" t="n"/>
      <c r="F23" s="248" t="inlineStr">
        <is>
          <t>IN-N-02  기관별 분모</t>
        </is>
      </c>
    </row>
    <row r="24" ht="15" customHeight="1" s="144">
      <c r="A24" s="242" t="n"/>
      <c r="B24" s="242" t="n"/>
      <c r="C24" s="242" t="n"/>
      <c r="D24" s="242" t="n"/>
      <c r="E24" s="242" t="n"/>
      <c r="F24" s="248" t="inlineStr">
        <is>
          <t>IN-N-02  기관별 분모</t>
        </is>
      </c>
    </row>
    <row r="25" ht="15" customHeight="1" s="144">
      <c r="A25" s="242" t="n"/>
      <c r="B25" s="242" t="n"/>
      <c r="C25" s="242" t="n"/>
      <c r="D25" s="242" t="n"/>
      <c r="E25" s="242" t="n"/>
      <c r="F25" s="248" t="inlineStr">
        <is>
          <t>IN-N-02  기관별 분모</t>
        </is>
      </c>
    </row>
    <row r="26" ht="15" customHeight="1" s="144">
      <c r="A26" s="242" t="n"/>
      <c r="B26" s="242" t="n"/>
      <c r="C26" s="242" t="n"/>
      <c r="D26" s="242" t="n"/>
      <c r="E26" s="242" t="n"/>
      <c r="F26" s="248" t="inlineStr">
        <is>
          <t>IN-N-02  기관별 분모</t>
        </is>
      </c>
    </row>
    <row r="27" ht="15" customHeight="1" s="144">
      <c r="A27" s="242" t="n"/>
      <c r="B27" s="242" t="n"/>
      <c r="C27" s="242" t="n"/>
      <c r="D27" s="242" t="n"/>
      <c r="E27" s="242" t="n"/>
      <c r="F27" s="248" t="inlineStr">
        <is>
          <t>IN-N-02  기관별 분모</t>
        </is>
      </c>
    </row>
    <row r="28" ht="15" customHeight="1" s="144">
      <c r="A28" s="242" t="n"/>
      <c r="B28" s="242" t="n"/>
      <c r="C28" s="242" t="n"/>
      <c r="D28" s="242" t="n"/>
      <c r="E28" s="242" t="n"/>
      <c r="F28" s="248" t="inlineStr">
        <is>
          <t>IN-N-02  기관별 분모</t>
        </is>
      </c>
    </row>
    <row r="29" ht="15" customHeight="1" s="144">
      <c r="A29" s="242" t="n"/>
      <c r="B29" s="242" t="n"/>
      <c r="C29" s="242" t="n"/>
      <c r="D29" s="242" t="n"/>
      <c r="E29" s="242" t="n"/>
      <c r="F29" s="248" t="inlineStr">
        <is>
          <t>IN-N-02  기관별 분모</t>
        </is>
      </c>
    </row>
    <row r="30" ht="15" customHeight="1" s="144">
      <c r="A30" s="242" t="n"/>
      <c r="B30" s="242" t="n"/>
      <c r="C30" s="242" t="n"/>
      <c r="D30" s="242" t="n"/>
      <c r="E30" s="242" t="n"/>
      <c r="F30" s="248" t="inlineStr">
        <is>
          <t>IN-N-02  기관별 분모</t>
        </is>
      </c>
    </row>
    <row r="31" ht="15" customHeight="1" s="144">
      <c r="A31" s="242" t="n"/>
      <c r="B31" s="242" t="n"/>
      <c r="C31" s="242" t="n"/>
      <c r="D31" s="242" t="n"/>
      <c r="E31" s="242" t="n"/>
      <c r="F31" s="248" t="inlineStr">
        <is>
          <t>IN-N-02  기관별 분모</t>
        </is>
      </c>
    </row>
    <row r="32" ht="15" customHeight="1" s="144">
      <c r="A32" s="242" t="n"/>
      <c r="B32" s="242" t="n"/>
      <c r="C32" s="242" t="n"/>
      <c r="D32" s="242" t="n"/>
      <c r="E32" s="242" t="n"/>
      <c r="F32" s="248" t="inlineStr">
        <is>
          <t>IN-N-02  기관별 분모</t>
        </is>
      </c>
    </row>
    <row r="33" ht="15" customHeight="1" s="144">
      <c r="A33" s="242" t="n"/>
      <c r="B33" s="242" t="n"/>
      <c r="C33" s="242" t="n"/>
      <c r="D33" s="242" t="n"/>
      <c r="E33" s="242" t="n"/>
      <c r="F33" s="248" t="inlineStr">
        <is>
          <t>IN-N-02  기관별 분모</t>
        </is>
      </c>
    </row>
    <row r="34" ht="15" customHeight="1" s="144">
      <c r="A34" s="242" t="n"/>
      <c r="B34" s="242" t="n"/>
      <c r="C34" s="242" t="n"/>
      <c r="D34" s="242" t="n"/>
      <c r="E34" s="242" t="n"/>
      <c r="F34" s="248" t="inlineStr">
        <is>
          <t>IN-N-02  기관별 분모</t>
        </is>
      </c>
    </row>
    <row r="35" ht="15" customHeight="1" s="144">
      <c r="A35" s="242" t="n"/>
      <c r="B35" s="242" t="n"/>
      <c r="C35" s="242" t="n"/>
      <c r="D35" s="242" t="n"/>
      <c r="E35" s="242" t="n"/>
      <c r="F35" s="248" t="inlineStr">
        <is>
          <t>IN-N-02  기관별 분모</t>
        </is>
      </c>
    </row>
    <row r="36" ht="15" customHeight="1" s="144">
      <c r="A36" s="242" t="n"/>
      <c r="B36" s="242" t="n"/>
      <c r="C36" s="242" t="n"/>
      <c r="D36" s="242" t="n"/>
      <c r="E36" s="242" t="n"/>
      <c r="F36" s="248" t="inlineStr">
        <is>
          <t>IN-N-02  기관별 분모</t>
        </is>
      </c>
    </row>
    <row r="37" ht="15" customHeight="1" s="144">
      <c r="A37" s="242" t="n"/>
      <c r="B37" s="242" t="n"/>
      <c r="C37" s="242" t="n"/>
      <c r="D37" s="242" t="n"/>
      <c r="E37" s="242" t="n"/>
      <c r="F37" s="248" t="inlineStr">
        <is>
          <t>IN-N-02  기관별 분모</t>
        </is>
      </c>
    </row>
    <row r="38" ht="15" customHeight="1" s="144">
      <c r="A38" s="242" t="n"/>
      <c r="B38" s="242" t="n"/>
      <c r="C38" s="242" t="n"/>
      <c r="D38" s="242" t="n"/>
      <c r="E38" s="242" t="n"/>
      <c r="F38" s="248" t="inlineStr">
        <is>
          <t>IN-N-02  기관별 분모</t>
        </is>
      </c>
    </row>
    <row r="39" ht="15" customHeight="1" s="144">
      <c r="A39" s="242" t="n"/>
      <c r="B39" s="242" t="n"/>
      <c r="C39" s="242" t="n"/>
      <c r="D39" s="242" t="n"/>
      <c r="E39" s="242" t="n"/>
      <c r="F39" s="248" t="inlineStr">
        <is>
          <t>IN-N-02  기관별 분모</t>
        </is>
      </c>
    </row>
    <row r="40" ht="15" customHeight="1" s="144">
      <c r="A40" s="242" t="n"/>
      <c r="B40" s="242" t="n"/>
      <c r="C40" s="242" t="n"/>
      <c r="D40" s="242" t="n"/>
      <c r="E40" s="242" t="n"/>
      <c r="F40" s="248" t="inlineStr">
        <is>
          <t>IN-N-02  기관별 분모</t>
        </is>
      </c>
    </row>
    <row r="41" ht="15" customHeight="1" s="144">
      <c r="A41" s="242" t="n"/>
      <c r="B41" s="242" t="n"/>
      <c r="C41" s="242" t="n"/>
      <c r="D41" s="242" t="n"/>
      <c r="E41" s="242" t="n"/>
      <c r="F41" s="248" t="inlineStr">
        <is>
          <t>IN-N-02  기관별 분모</t>
        </is>
      </c>
    </row>
    <row r="42" ht="15" customHeight="1" s="144">
      <c r="A42" s="242" t="n"/>
      <c r="B42" s="242" t="n"/>
      <c r="C42" s="242" t="n"/>
      <c r="D42" s="242" t="n"/>
      <c r="E42" s="242" t="n"/>
      <c r="F42" s="248" t="inlineStr">
        <is>
          <t>IN-N-02  기관별 분모</t>
        </is>
      </c>
    </row>
    <row r="43" ht="15" customHeight="1" s="144">
      <c r="A43" s="242" t="n"/>
      <c r="B43" s="242" t="n"/>
      <c r="C43" s="242" t="n"/>
      <c r="D43" s="242" t="n"/>
      <c r="E43" s="242" t="n"/>
      <c r="F43" s="248" t="inlineStr">
        <is>
          <t>IN-N-02  기관별 분모</t>
        </is>
      </c>
    </row>
    <row r="47" ht="15" customHeight="1" s="144">
      <c r="A47" s="241" t="inlineStr">
        <is>
          <t>산출이 어려운 항목의 이유 (한 줄이면 충분합니다)</t>
        </is>
      </c>
    </row>
    <row r="48" ht="15" customHeight="1" s="144">
      <c r="A48" s="242" t="n"/>
      <c r="B48" s="242" t="n"/>
      <c r="C48" s="242" t="n"/>
      <c r="D48" s="242" t="n"/>
      <c r="E48" s="242" t="n"/>
      <c r="F48" s="242" t="n"/>
      <c r="G48" s="242" t="n"/>
    </row>
    <row r="49" ht="15" customHeight="1" s="144">
      <c r="A49" s="242" t="n"/>
      <c r="B49" s="242" t="n"/>
      <c r="C49" s="242" t="n"/>
      <c r="D49" s="242" t="n"/>
      <c r="E49" s="242" t="n"/>
      <c r="F49" s="242" t="n"/>
      <c r="G49" s="242" t="n"/>
    </row>
    <row r="50" ht="15" customHeight="1" s="144">
      <c r="A50" s="242" t="n"/>
      <c r="B50" s="242" t="n"/>
      <c r="C50" s="242" t="n"/>
      <c r="D50" s="242" t="n"/>
      <c r="E50" s="242" t="n"/>
      <c r="F50" s="242" t="n"/>
      <c r="G50" s="242" t="n"/>
    </row>
  </sheetData>
  <mergeCells count="5">
    <mergeCell ref="B3:G3"/>
    <mergeCell ref="B2:G2"/>
    <mergeCell ref="A1:G1"/>
    <mergeCell ref="B4:G4"/>
    <mergeCell ref="A47:G47"/>
  </mergeCells>
  <dataValidations count="1">
    <dataValidation sqref="E7:E12 E19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D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143" min="1" max="1"/>
    <col width="16" customWidth="1" style="143" min="2" max="2"/>
    <col width="20" customWidth="1" style="143" min="3" max="3"/>
    <col width="22" customWidth="1" style="143" min="4" max="4"/>
  </cols>
  <sheetData>
    <row r="1" ht="19.4" customHeight="1" s="144">
      <c r="A1" s="249" t="inlineStr">
        <is>
          <t>서식 2 [추가] 기관별 1일 평균 수용인원 (2025년, 보안과 회신)</t>
        </is>
      </c>
    </row>
    <row r="3" ht="15" customHeight="1" s="144">
      <c r="A3" s="194" t="inlineStr">
        <is>
          <t>번호</t>
        </is>
      </c>
      <c r="B3" s="194" t="inlineStr">
        <is>
          <t>기관명</t>
        </is>
      </c>
      <c r="C3" s="250" t="inlineStr">
        <is>
          <t>1일 평균 수용인원(명)</t>
        </is>
      </c>
      <c r="D3" s="194" t="inlineStr">
        <is>
          <t>비고 (모델 KEY)</t>
        </is>
      </c>
    </row>
    <row r="4" ht="15" customHeight="1" s="144">
      <c r="A4" s="183" t="n">
        <v>1</v>
      </c>
      <c r="B4" s="185" t="inlineStr">
        <is>
          <t>서울(구)</t>
        </is>
      </c>
      <c r="C4" s="251" t="n">
        <v>3265.08767123288</v>
      </c>
      <c r="D4" s="182" t="inlineStr">
        <is>
          <t>IN-N-02  기관별 분모</t>
        </is>
      </c>
    </row>
    <row r="5" ht="15" customHeight="1" s="144">
      <c r="A5" s="183" t="n">
        <v>2</v>
      </c>
      <c r="B5" s="185" t="inlineStr">
        <is>
          <t>안양(교)</t>
        </is>
      </c>
      <c r="C5" s="251" t="n">
        <v>2235.2</v>
      </c>
      <c r="D5" s="182" t="inlineStr">
        <is>
          <t>IN-N-02  기관별 분모</t>
        </is>
      </c>
    </row>
    <row r="6" ht="15" customHeight="1" s="144">
      <c r="A6" s="183" t="n">
        <v>3</v>
      </c>
      <c r="B6" s="185" t="inlineStr">
        <is>
          <t>수원(구)</t>
        </is>
      </c>
      <c r="C6" s="251" t="n">
        <v>2390.09863013699</v>
      </c>
      <c r="D6" s="182" t="inlineStr">
        <is>
          <t>IN-N-02  기관별 분모</t>
        </is>
      </c>
    </row>
    <row r="7" ht="15" customHeight="1" s="144">
      <c r="A7" s="183" t="n">
        <v>4</v>
      </c>
      <c r="B7" s="185" t="inlineStr">
        <is>
          <t>서울동부(구)</t>
        </is>
      </c>
      <c r="C7" s="251" t="n">
        <v>2797.44657534247</v>
      </c>
      <c r="D7" s="182" t="inlineStr">
        <is>
          <t>IN-N-02  기관별 분모</t>
        </is>
      </c>
    </row>
    <row r="8" ht="15" customHeight="1" s="144">
      <c r="A8" s="183" t="n">
        <v>5</v>
      </c>
      <c r="B8" s="185" t="inlineStr">
        <is>
          <t>인천(구)</t>
        </is>
      </c>
      <c r="C8" s="251" t="n">
        <v>2298.57260273973</v>
      </c>
      <c r="D8" s="182" t="inlineStr">
        <is>
          <t>IN-N-02  기관별 분모</t>
        </is>
      </c>
    </row>
    <row r="9" ht="15" customHeight="1" s="144">
      <c r="A9" s="183" t="n">
        <v>6</v>
      </c>
      <c r="B9" s="185" t="inlineStr">
        <is>
          <t>서울남부(구)</t>
        </is>
      </c>
      <c r="C9" s="251" t="n">
        <v>1881.33424657534</v>
      </c>
      <c r="D9" s="182" t="inlineStr">
        <is>
          <t>IN-N-02  기관별 분모</t>
        </is>
      </c>
    </row>
    <row r="10" ht="15" customHeight="1" s="144">
      <c r="A10" s="183" t="n">
        <v>7</v>
      </c>
      <c r="B10" s="185" t="inlineStr">
        <is>
          <t>화성직훈(교)</t>
        </is>
      </c>
      <c r="C10" s="251" t="n">
        <v>1749.43835616438</v>
      </c>
      <c r="D10" s="182" t="inlineStr">
        <is>
          <t>IN-N-02  기관별 분모</t>
        </is>
      </c>
    </row>
    <row r="11" ht="15" customHeight="1" s="144">
      <c r="A11" s="183" t="n">
        <v>8</v>
      </c>
      <c r="B11" s="185" t="inlineStr">
        <is>
          <t>의정부(교)</t>
        </is>
      </c>
      <c r="C11" s="251" t="n">
        <v>1541.91780821918</v>
      </c>
      <c r="D11" s="182" t="inlineStr">
        <is>
          <t>IN-N-02  기관별 분모</t>
        </is>
      </c>
    </row>
    <row r="12" ht="15" customHeight="1" s="144">
      <c r="A12" s="183" t="n">
        <v>9</v>
      </c>
      <c r="B12" s="185" t="inlineStr">
        <is>
          <t>여주(교)</t>
        </is>
      </c>
      <c r="C12" s="251" t="n">
        <v>1704.45205479452</v>
      </c>
      <c r="D12" s="182" t="inlineStr">
        <is>
          <t>IN-N-02  기관별 분모</t>
        </is>
      </c>
    </row>
    <row r="13" ht="15" customHeight="1" s="144">
      <c r="A13" s="183" t="n">
        <v>10</v>
      </c>
      <c r="B13" s="185" t="inlineStr">
        <is>
          <t>서울남부(교)</t>
        </is>
      </c>
      <c r="C13" s="251" t="n">
        <v>1317.05205479452</v>
      </c>
      <c r="D13" s="182" t="inlineStr">
        <is>
          <t>IN-N-02  기관별 분모</t>
        </is>
      </c>
    </row>
    <row r="14" ht="15" customHeight="1" s="144">
      <c r="A14" s="183" t="n">
        <v>11</v>
      </c>
      <c r="B14" s="185" t="inlineStr">
        <is>
          <t>춘천(교)</t>
        </is>
      </c>
      <c r="C14" s="251" t="n">
        <v>988.515068493151</v>
      </c>
      <c r="D14" s="182" t="inlineStr">
        <is>
          <t>IN-N-02  기관별 분모</t>
        </is>
      </c>
    </row>
    <row r="15" ht="15" customHeight="1" s="144">
      <c r="A15" s="183" t="n">
        <v>12</v>
      </c>
      <c r="B15" s="185" t="inlineStr">
        <is>
          <t>원주(교)</t>
        </is>
      </c>
      <c r="C15" s="251" t="n">
        <v>887.161643835616</v>
      </c>
      <c r="D15" s="182" t="inlineStr">
        <is>
          <t>IN-N-02  기관별 분모</t>
        </is>
      </c>
    </row>
    <row r="16" ht="15" customHeight="1" s="144">
      <c r="A16" s="183" t="n">
        <v>13</v>
      </c>
      <c r="B16" s="185" t="inlineStr">
        <is>
          <t>강릉(교)</t>
        </is>
      </c>
      <c r="C16" s="251" t="n">
        <v>470.12602739726</v>
      </c>
      <c r="D16" s="182" t="inlineStr">
        <is>
          <t>IN-N-02  기관별 분모</t>
        </is>
      </c>
    </row>
    <row r="17" ht="15" customHeight="1" s="144">
      <c r="A17" s="183" t="n">
        <v>14</v>
      </c>
      <c r="B17" s="185" t="inlineStr">
        <is>
          <t>영월(교)</t>
        </is>
      </c>
      <c r="C17" s="251" t="n">
        <v>419.046575342466</v>
      </c>
      <c r="D17" s="182" t="inlineStr">
        <is>
          <t>IN-N-02  기관별 분모</t>
        </is>
      </c>
    </row>
    <row r="18" ht="15" customHeight="1" s="144">
      <c r="A18" s="183" t="n">
        <v>15</v>
      </c>
      <c r="B18" s="185" t="inlineStr">
        <is>
          <t>강원북부(교)</t>
        </is>
      </c>
      <c r="C18" s="251" t="n">
        <v>533.991780821918</v>
      </c>
      <c r="D18" s="182" t="inlineStr">
        <is>
          <t>IN-N-02  기관별 분모</t>
        </is>
      </c>
    </row>
    <row r="19" ht="15" customHeight="1" s="144">
      <c r="A19" s="183" t="n">
        <v>16</v>
      </c>
      <c r="B19" s="185" t="inlineStr">
        <is>
          <t>평택(지소)</t>
        </is>
      </c>
      <c r="C19" s="251" t="n">
        <v>306.167123287671</v>
      </c>
      <c r="D19" s="182" t="inlineStr">
        <is>
          <t>IN-N-02  기관별 분모</t>
        </is>
      </c>
    </row>
    <row r="20" ht="15" customHeight="1" s="144">
      <c r="A20" s="183" t="n">
        <v>17</v>
      </c>
      <c r="B20" s="185" t="inlineStr">
        <is>
          <t>소망(교)</t>
        </is>
      </c>
      <c r="C20" s="251" t="n">
        <v>403.345205479452</v>
      </c>
      <c r="D20" s="182" t="inlineStr">
        <is>
          <t>IN-N-02  기관별 분모</t>
        </is>
      </c>
    </row>
    <row r="21" ht="15" customHeight="1" s="144">
      <c r="A21" s="183" t="n">
        <v>18</v>
      </c>
      <c r="B21" s="185" t="inlineStr">
        <is>
          <t>대구(교)</t>
        </is>
      </c>
      <c r="C21" s="251" t="n">
        <v>2723.05479452055</v>
      </c>
      <c r="D21" s="182" t="inlineStr">
        <is>
          <t>IN-N-02  기관별 분모</t>
        </is>
      </c>
    </row>
    <row r="22" ht="15" customHeight="1" s="144">
      <c r="A22" s="183" t="n">
        <v>19</v>
      </c>
      <c r="B22" s="185" t="inlineStr">
        <is>
          <t>부산(구)</t>
        </is>
      </c>
      <c r="C22" s="251" t="n">
        <v>2288.38904109589</v>
      </c>
      <c r="D22" s="182" t="inlineStr">
        <is>
          <t>IN-N-02  기관별 분모</t>
        </is>
      </c>
    </row>
    <row r="23" ht="15" customHeight="1" s="144">
      <c r="A23" s="183" t="n">
        <v>20</v>
      </c>
      <c r="B23" s="185" t="inlineStr">
        <is>
          <t>경북1(교)</t>
        </is>
      </c>
      <c r="C23" s="251" t="n">
        <v>1257.6</v>
      </c>
      <c r="D23" s="182" t="inlineStr">
        <is>
          <t>IN-N-02  기관별 분모</t>
        </is>
      </c>
    </row>
    <row r="24" ht="15" customHeight="1" s="144">
      <c r="A24" s="183" t="n">
        <v>21</v>
      </c>
      <c r="B24" s="185" t="inlineStr">
        <is>
          <t>창원(교)</t>
        </is>
      </c>
      <c r="C24" s="251" t="n">
        <v>1434.67671232877</v>
      </c>
      <c r="D24" s="182" t="inlineStr">
        <is>
          <t>IN-N-02  기관별 분모</t>
        </is>
      </c>
    </row>
    <row r="25" ht="15" customHeight="1" s="144">
      <c r="A25" s="183" t="n">
        <v>22</v>
      </c>
      <c r="B25" s="185" t="inlineStr">
        <is>
          <t>부산(교)</t>
        </is>
      </c>
      <c r="C25" s="251" t="n">
        <v>1440.23287671233</v>
      </c>
      <c r="D25" s="182" t="inlineStr">
        <is>
          <t>IN-N-02  기관별 분모</t>
        </is>
      </c>
    </row>
    <row r="26" ht="15" customHeight="1" s="144">
      <c r="A26" s="183" t="n">
        <v>23</v>
      </c>
      <c r="B26" s="185" t="inlineStr">
        <is>
          <t>포항(교)</t>
        </is>
      </c>
      <c r="C26" s="251" t="n">
        <v>1576.38904109589</v>
      </c>
      <c r="D26" s="182" t="inlineStr">
        <is>
          <t>IN-N-02  기관별 분모</t>
        </is>
      </c>
    </row>
    <row r="27" ht="15" customHeight="1" s="144">
      <c r="A27" s="183" t="n">
        <v>24</v>
      </c>
      <c r="B27" s="185" t="inlineStr">
        <is>
          <t>진주(교)</t>
        </is>
      </c>
      <c r="C27" s="251" t="n">
        <v>1177.03835616438</v>
      </c>
      <c r="D27" s="182" t="inlineStr">
        <is>
          <t>IN-N-02  기관별 분모</t>
        </is>
      </c>
    </row>
    <row r="28" ht="15" customHeight="1" s="144">
      <c r="A28" s="183" t="n">
        <v>25</v>
      </c>
      <c r="B28" s="185" t="inlineStr">
        <is>
          <t>대구(구)</t>
        </is>
      </c>
      <c r="C28" s="251" t="n">
        <v>1131.98356164384</v>
      </c>
      <c r="D28" s="182" t="inlineStr">
        <is>
          <t>IN-N-02  기관별 분모</t>
        </is>
      </c>
    </row>
    <row r="29" ht="15" customHeight="1" s="144">
      <c r="A29" s="183" t="n">
        <v>26</v>
      </c>
      <c r="B29" s="185" t="inlineStr">
        <is>
          <t>안동(교)</t>
        </is>
      </c>
      <c r="C29" s="251" t="n">
        <v>812.802739726027</v>
      </c>
      <c r="D29" s="182" t="inlineStr">
        <is>
          <t>IN-N-02  기관별 분모</t>
        </is>
      </c>
    </row>
    <row r="30" ht="15" customHeight="1" s="144">
      <c r="A30" s="183" t="n">
        <v>27</v>
      </c>
      <c r="B30" s="185" t="inlineStr">
        <is>
          <t>경북2(교)</t>
        </is>
      </c>
      <c r="C30" s="251" t="n">
        <v>392.317808219178</v>
      </c>
      <c r="D30" s="182" t="inlineStr">
        <is>
          <t>IN-N-02  기관별 분모</t>
        </is>
      </c>
    </row>
    <row r="31" ht="15" customHeight="1" s="144">
      <c r="A31" s="183" t="n">
        <v>28</v>
      </c>
      <c r="B31" s="185" t="inlineStr">
        <is>
          <t>김천소년(교)</t>
        </is>
      </c>
      <c r="C31" s="251" t="n">
        <v>869.027397260274</v>
      </c>
      <c r="D31" s="182" t="inlineStr">
        <is>
          <t>IN-N-02  기관별 분모</t>
        </is>
      </c>
    </row>
    <row r="32" ht="15" customHeight="1" s="144">
      <c r="A32" s="183" t="n">
        <v>29</v>
      </c>
      <c r="B32" s="185" t="inlineStr">
        <is>
          <t>경북3(교)</t>
        </is>
      </c>
      <c r="C32" s="251" t="n">
        <v>754.194520547945</v>
      </c>
      <c r="D32" s="182" t="inlineStr">
        <is>
          <t>IN-N-02  기관별 분모</t>
        </is>
      </c>
    </row>
    <row r="33" ht="15" customHeight="1" s="144">
      <c r="A33" s="183" t="n">
        <v>30</v>
      </c>
      <c r="B33" s="185" t="inlineStr">
        <is>
          <t>울산(구)</t>
        </is>
      </c>
      <c r="C33" s="251" t="n">
        <v>626.904109589041</v>
      </c>
      <c r="D33" s="182" t="inlineStr">
        <is>
          <t>IN-N-02  기관별 분모</t>
        </is>
      </c>
    </row>
    <row r="34" ht="15" customHeight="1" s="144">
      <c r="A34" s="183" t="n">
        <v>31</v>
      </c>
      <c r="B34" s="185" t="inlineStr">
        <is>
          <t>경주(교)</t>
        </is>
      </c>
      <c r="C34" s="251" t="n">
        <v>406.8</v>
      </c>
      <c r="D34" s="182" t="inlineStr">
        <is>
          <t>IN-N-02  기관별 분모</t>
        </is>
      </c>
    </row>
    <row r="35" ht="15" customHeight="1" s="144">
      <c r="A35" s="183" t="n">
        <v>32</v>
      </c>
      <c r="B35" s="185" t="inlineStr">
        <is>
          <t>통영(구)</t>
        </is>
      </c>
      <c r="C35" s="251" t="n">
        <v>564.350684931507</v>
      </c>
      <c r="D35" s="182" t="inlineStr">
        <is>
          <t>IN-N-02  기관별 분모</t>
        </is>
      </c>
    </row>
    <row r="36" ht="15" customHeight="1" s="144">
      <c r="A36" s="183" t="n">
        <v>33</v>
      </c>
      <c r="B36" s="185" t="inlineStr">
        <is>
          <t>밀양(구)</t>
        </is>
      </c>
      <c r="C36" s="251" t="n">
        <v>533.4821917808219</v>
      </c>
      <c r="D36" s="182" t="inlineStr">
        <is>
          <t>IN-N-02  기관별 분모</t>
        </is>
      </c>
    </row>
    <row r="37" ht="15" customHeight="1" s="144">
      <c r="A37" s="183" t="n">
        <v>34</v>
      </c>
      <c r="B37" s="185" t="inlineStr">
        <is>
          <t>상주(교)</t>
        </is>
      </c>
      <c r="C37" s="251" t="n">
        <v>581.939726027397</v>
      </c>
      <c r="D37" s="182" t="inlineStr">
        <is>
          <t>IN-N-02  기관별 분모</t>
        </is>
      </c>
    </row>
    <row r="38" ht="15" customHeight="1" s="144">
      <c r="A38" s="183" t="n">
        <v>35</v>
      </c>
      <c r="B38" s="185" t="inlineStr">
        <is>
          <t>거창(구)</t>
        </is>
      </c>
      <c r="C38" s="251" t="n">
        <v>379.723287671233</v>
      </c>
      <c r="D38" s="182" t="inlineStr">
        <is>
          <t>IN-N-02  기관별 분모</t>
        </is>
      </c>
    </row>
    <row r="39" ht="15" customHeight="1" s="144">
      <c r="A39" s="183" t="n">
        <v>36</v>
      </c>
      <c r="B39" s="185" t="inlineStr">
        <is>
          <t>대전(교)</t>
        </is>
      </c>
      <c r="C39" s="251" t="n">
        <v>2912.35890410959</v>
      </c>
      <c r="D39" s="182" t="inlineStr">
        <is>
          <t>IN-N-02  기관별 분모</t>
        </is>
      </c>
    </row>
    <row r="40" ht="15" customHeight="1" s="144">
      <c r="A40" s="183" t="n">
        <v>37</v>
      </c>
      <c r="B40" s="185" t="inlineStr">
        <is>
          <t>청주(교)</t>
        </is>
      </c>
      <c r="C40" s="251" t="n">
        <v>1147.8602739726</v>
      </c>
      <c r="D40" s="182" t="inlineStr">
        <is>
          <t>IN-N-02  기관별 분모</t>
        </is>
      </c>
    </row>
    <row r="41" ht="15" customHeight="1" s="144">
      <c r="A41" s="183" t="n">
        <v>38</v>
      </c>
      <c r="B41" s="185" t="inlineStr">
        <is>
          <t>천안(교)</t>
        </is>
      </c>
      <c r="C41" s="251" t="n">
        <v>1521.24109589041</v>
      </c>
      <c r="D41" s="182" t="inlineStr">
        <is>
          <t>IN-N-02  기관별 분모</t>
        </is>
      </c>
    </row>
    <row r="42" ht="15" customHeight="1" s="144">
      <c r="A42" s="183" t="n">
        <v>39</v>
      </c>
      <c r="B42" s="185" t="inlineStr">
        <is>
          <t>청주여자(교)</t>
        </is>
      </c>
      <c r="C42" s="251" t="n">
        <v>831.098630136986</v>
      </c>
      <c r="D42" s="182" t="inlineStr">
        <is>
          <t>IN-N-02  기관별 분모</t>
        </is>
      </c>
    </row>
    <row r="43" ht="15" customHeight="1" s="144">
      <c r="A43" s="183" t="n">
        <v>40</v>
      </c>
      <c r="B43" s="185" t="inlineStr">
        <is>
          <t>공주(교)</t>
        </is>
      </c>
      <c r="C43" s="251" t="n">
        <v>658.002739726027</v>
      </c>
      <c r="D43" s="182" t="inlineStr">
        <is>
          <t>IN-N-02  기관별 분모</t>
        </is>
      </c>
    </row>
    <row r="44" ht="15" customHeight="1" s="144">
      <c r="A44" s="183" t="n">
        <v>41</v>
      </c>
      <c r="B44" s="185" t="inlineStr">
        <is>
          <t>충주(구)</t>
        </is>
      </c>
      <c r="C44" s="251" t="n">
        <v>519.912328767123</v>
      </c>
      <c r="D44" s="182" t="inlineStr">
        <is>
          <t>IN-N-02  기관별 분모</t>
        </is>
      </c>
    </row>
    <row r="45" ht="15" customHeight="1" s="144">
      <c r="A45" s="183" t="n">
        <v>42</v>
      </c>
      <c r="B45" s="185" t="inlineStr">
        <is>
          <t>홍성(교)</t>
        </is>
      </c>
      <c r="C45" s="251" t="n">
        <v>445.301369863014</v>
      </c>
      <c r="D45" s="182" t="inlineStr">
        <is>
          <t>IN-N-02  기관별 분모</t>
        </is>
      </c>
    </row>
    <row r="46" ht="15" customHeight="1" s="144">
      <c r="A46" s="183" t="n">
        <v>43</v>
      </c>
      <c r="B46" s="185" t="inlineStr">
        <is>
          <t>천안개방(교)</t>
        </is>
      </c>
      <c r="C46" s="251" t="n">
        <v>222.649315068493</v>
      </c>
      <c r="D46" s="182" t="inlineStr">
        <is>
          <t>IN-N-02  기관별 분모</t>
        </is>
      </c>
    </row>
    <row r="47" ht="15" customHeight="1" s="144">
      <c r="A47" s="183" t="n">
        <v>44</v>
      </c>
      <c r="B47" s="185" t="inlineStr">
        <is>
          <t>서산(지소)</t>
        </is>
      </c>
      <c r="C47" s="251" t="n">
        <v>353.534246575343</v>
      </c>
      <c r="D47" s="182" t="inlineStr">
        <is>
          <t>IN-N-02  기관별 분모</t>
        </is>
      </c>
    </row>
    <row r="48" ht="15" customHeight="1" s="144">
      <c r="A48" s="183" t="n">
        <v>45</v>
      </c>
      <c r="B48" s="185" t="inlineStr">
        <is>
          <t>논산(지소)</t>
        </is>
      </c>
      <c r="C48" s="251" t="n">
        <v>368.553424657534</v>
      </c>
      <c r="D48" s="182" t="inlineStr">
        <is>
          <t>IN-N-02  기관별 분모</t>
        </is>
      </c>
    </row>
    <row r="49" ht="15" customHeight="1" s="144">
      <c r="A49" s="183" t="n">
        <v>46</v>
      </c>
      <c r="B49" s="185" t="inlineStr">
        <is>
          <t>광주(교)</t>
        </is>
      </c>
      <c r="C49" s="251" t="n">
        <v>2281.3698630137</v>
      </c>
      <c r="D49" s="182" t="inlineStr">
        <is>
          <t>IN-N-02  기관별 분모</t>
        </is>
      </c>
    </row>
    <row r="50" ht="15" customHeight="1" s="144">
      <c r="A50" s="183" t="n">
        <v>47</v>
      </c>
      <c r="B50" s="185" t="inlineStr">
        <is>
          <t>전주(교)</t>
        </is>
      </c>
      <c r="C50" s="251" t="n">
        <v>1332.95616438356</v>
      </c>
      <c r="D50" s="182" t="inlineStr">
        <is>
          <t>IN-N-02  기관별 분모</t>
        </is>
      </c>
    </row>
    <row r="51" ht="15" customHeight="1" s="144">
      <c r="A51" s="183" t="n">
        <v>48</v>
      </c>
      <c r="B51" s="185" t="inlineStr">
        <is>
          <t>순천(교)</t>
        </is>
      </c>
      <c r="C51" s="251" t="n">
        <v>1560.10410958904</v>
      </c>
      <c r="D51" s="182" t="inlineStr">
        <is>
          <t>IN-N-02  기관별 분모</t>
        </is>
      </c>
    </row>
    <row r="52" ht="15" customHeight="1" s="144">
      <c r="A52" s="183" t="n">
        <v>49</v>
      </c>
      <c r="B52" s="185" t="inlineStr">
        <is>
          <t>목포(교)</t>
        </is>
      </c>
      <c r="C52" s="251" t="n">
        <v>1397.29589041096</v>
      </c>
      <c r="D52" s="182" t="inlineStr">
        <is>
          <t>IN-N-02  기관별 분모</t>
        </is>
      </c>
    </row>
    <row r="53" ht="15" customHeight="1" s="144">
      <c r="A53" s="183" t="n">
        <v>50</v>
      </c>
      <c r="B53" s="185" t="inlineStr">
        <is>
          <t>군산(교)</t>
        </is>
      </c>
      <c r="C53" s="251" t="n">
        <v>1010.21917808219</v>
      </c>
      <c r="D53" s="182" t="inlineStr">
        <is>
          <t>IN-N-02  기관별 분모</t>
        </is>
      </c>
    </row>
    <row r="54" ht="15" customHeight="1" s="144">
      <c r="A54" s="183" t="n">
        <v>51</v>
      </c>
      <c r="B54" s="185" t="inlineStr">
        <is>
          <t>제주(교)</t>
        </is>
      </c>
      <c r="C54" s="251" t="n">
        <v>909.512328767123</v>
      </c>
      <c r="D54" s="182" t="inlineStr">
        <is>
          <t>IN-N-02  기관별 분모</t>
        </is>
      </c>
    </row>
    <row r="55" ht="15" customHeight="1" s="144">
      <c r="A55" s="183" t="n">
        <v>52</v>
      </c>
      <c r="B55" s="185" t="inlineStr">
        <is>
          <t>장흥(교)</t>
        </is>
      </c>
      <c r="C55" s="251" t="n">
        <v>597.819178082192</v>
      </c>
      <c r="D55" s="182" t="inlineStr">
        <is>
          <t>IN-N-02  기관별 분모</t>
        </is>
      </c>
    </row>
    <row r="56" ht="15" customHeight="1" s="144">
      <c r="A56" s="183" t="n">
        <v>53</v>
      </c>
      <c r="B56" s="185" t="inlineStr">
        <is>
          <t>해남(교)</t>
        </is>
      </c>
      <c r="C56" s="251" t="n">
        <v>503.230136986301</v>
      </c>
      <c r="D56" s="182" t="inlineStr">
        <is>
          <t>IN-N-02  기관별 분모</t>
        </is>
      </c>
    </row>
    <row r="57" ht="15" customHeight="1" s="144">
      <c r="A57" s="183" t="n">
        <v>54</v>
      </c>
      <c r="B57" s="185" t="inlineStr">
        <is>
          <t>정읍(교)</t>
        </is>
      </c>
      <c r="C57" s="251" t="n">
        <v>547.827397260274</v>
      </c>
      <c r="D57" s="182" t="inlineStr">
        <is>
          <t>IN-N-02  기관별 분모</t>
        </is>
      </c>
    </row>
    <row r="58" ht="15" customHeight="1" s="144">
      <c r="B58" s="213" t="inlineStr">
        <is>
          <t>합계</t>
        </is>
      </c>
      <c r="C58" s="252">
        <f>SUM(C4:C57)</f>
        <v/>
      </c>
    </row>
    <row r="59" ht="15" customHeight="1" s="144">
      <c r="B59" s="253" t="inlineStr">
        <is>
          <t>전국 1일 평균(서식2)</t>
        </is>
      </c>
      <c r="C59" s="254">
        <f>'서식2 수용인원'!D7</f>
        <v/>
      </c>
    </row>
    <row r="60" ht="15" customHeight="1" s="144">
      <c r="B60" s="253" t="inlineStr">
        <is>
          <t>차이(합계−전국)</t>
        </is>
      </c>
      <c r="C60" s="255">
        <f>C58-C59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1"/>
  </sheetPr>
  <dimension ref="A1:G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9" activeCellId="0" sqref="A19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4"/>
    <col width="14" customWidth="1" style="143" min="5" max="5"/>
    <col width="30" customWidth="1" style="143" min="6" max="6"/>
  </cols>
  <sheetData>
    <row r="1" ht="24" customHeight="1" s="144">
      <c r="A1" s="152" t="inlineStr">
        <is>
          <t>서식 3.  마약류사범 수용현황</t>
        </is>
      </c>
    </row>
    <row r="2" ht="15" customHeight="1" s="144">
      <c r="A2" s="228" t="inlineStr">
        <is>
          <t>무엇에 쓰나요</t>
        </is>
      </c>
      <c r="B2" s="229" t="inlineStr">
        <is>
          <t>전체 수용자가 아니라 마약류사범을 대상으로 1인당 원가를 계산하기 위해 필요합니다.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교정통계연보 죄명별 수용현황, 공공데이터포털 「법무부_범죄별 경비처우급 현황」, 내부 행정통계.</t>
        </is>
      </c>
    </row>
    <row r="4" ht="30" customHeight="1" s="144">
      <c r="A4" s="230" t="inlineStr">
        <is>
          <t>꼭 봐주세요</t>
        </is>
      </c>
      <c r="B4" s="231" t="inlineStr">
        <is>
          <t>형기 구간은 기관에서 쓰시는 구분 그대로 적어 주셔도 됩니다. 평균 수용기간을 내는 데 씁니다.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2025년</t>
        </is>
      </c>
      <c r="E6" s="154" t="inlineStr">
        <is>
          <t>산출 가능 여부</t>
        </is>
      </c>
      <c r="F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마약류사범 1일 평균 수용인원</t>
        </is>
      </c>
      <c r="C7" s="235" t="inlineStr">
        <is>
          <t>명</t>
        </is>
      </c>
      <c r="D7" s="238" t="n"/>
      <c r="E7" s="239" t="inlineStr">
        <is>
          <t>미회신: 1일 평균 없음. 25.12.31 연말 현원 7,429명만 회신</t>
        </is>
      </c>
      <c r="F7" s="159" t="inlineStr">
        <is>
          <t>IN-N-04  마약류 분모</t>
        </is>
      </c>
    </row>
    <row r="8" ht="25.5" customHeight="1" s="144">
      <c r="A8" s="233" t="n">
        <v>2</v>
      </c>
      <c r="B8" s="234" t="inlineStr">
        <is>
          <t xml:space="preserve">  이 중 향정 사범</t>
        </is>
      </c>
      <c r="C8" s="235" t="inlineStr">
        <is>
          <t>명</t>
        </is>
      </c>
      <c r="D8" s="238" t="n"/>
      <c r="E8" s="239" t="inlineStr">
        <is>
          <t>미회신</t>
        </is>
      </c>
      <c r="F8" s="159" t="inlineStr">
        <is>
          <t>IN-N-04  마약류 분모</t>
        </is>
      </c>
    </row>
    <row r="9" ht="25.5" customHeight="1" s="144">
      <c r="A9" s="233" t="n">
        <v>3</v>
      </c>
      <c r="B9" s="234" t="inlineStr">
        <is>
          <t>마약류사범 수용 연인원 (인·일)</t>
        </is>
      </c>
      <c r="C9" s="235" t="inlineStr">
        <is>
          <t>인·일</t>
        </is>
      </c>
      <c r="D9" s="238" t="n"/>
      <c r="E9" s="239" t="inlineStr">
        <is>
          <t>미회신(회신 시트에서 이 칸에 연말 현원 7,429명이 기재됨)</t>
        </is>
      </c>
      <c r="F9" s="159" t="inlineStr">
        <is>
          <t>IN-N-05  마약류 연인원</t>
        </is>
      </c>
    </row>
    <row r="10" ht="25.5" customHeight="1" s="144">
      <c r="A10" s="233" t="n">
        <v>4</v>
      </c>
      <c r="B10" s="234" t="inlineStr">
        <is>
          <t>형기 6월 미만</t>
        </is>
      </c>
      <c r="C10" s="235" t="inlineStr">
        <is>
          <t>명</t>
        </is>
      </c>
      <c r="D10" s="238" t="n"/>
      <c r="E10" s="239" t="inlineStr">
        <is>
          <t>미회신</t>
        </is>
      </c>
      <c r="F10" s="159" t="inlineStr">
        <is>
          <t>IN-N-06  형기 분포</t>
        </is>
      </c>
    </row>
    <row r="11" ht="25.5" customHeight="1" s="144">
      <c r="A11" s="233" t="n">
        <v>5</v>
      </c>
      <c r="B11" s="234" t="inlineStr">
        <is>
          <t>형기 6월 ~ 1년</t>
        </is>
      </c>
      <c r="C11" s="235" t="inlineStr">
        <is>
          <t>명</t>
        </is>
      </c>
      <c r="D11" s="238" t="n"/>
      <c r="E11" s="239" t="inlineStr">
        <is>
          <t>미회신</t>
        </is>
      </c>
      <c r="F11" s="159" t="inlineStr">
        <is>
          <t>IN-N-06  형기 분포</t>
        </is>
      </c>
    </row>
    <row r="12" ht="25.5" customHeight="1" s="144">
      <c r="A12" s="233" t="n">
        <v>6</v>
      </c>
      <c r="B12" s="234" t="inlineStr">
        <is>
          <t>형기 1년 ~ 3년</t>
        </is>
      </c>
      <c r="C12" s="235" t="inlineStr">
        <is>
          <t>명</t>
        </is>
      </c>
      <c r="D12" s="238" t="n"/>
      <c r="E12" s="239" t="inlineStr">
        <is>
          <t>미회신</t>
        </is>
      </c>
      <c r="F12" s="159" t="inlineStr">
        <is>
          <t>IN-N-06  형기 분포</t>
        </is>
      </c>
    </row>
    <row r="13" ht="25.5" customHeight="1" s="144">
      <c r="A13" s="233" t="n">
        <v>7</v>
      </c>
      <c r="B13" s="234" t="inlineStr">
        <is>
          <t>형기 3년 이상</t>
        </is>
      </c>
      <c r="C13" s="235" t="inlineStr">
        <is>
          <t>명</t>
        </is>
      </c>
      <c r="D13" s="238" t="n"/>
      <c r="E13" s="239" t="inlineStr">
        <is>
          <t>미회신</t>
        </is>
      </c>
      <c r="F13" s="159" t="inlineStr">
        <is>
          <t>IN-N-06  형기 분포</t>
        </is>
      </c>
    </row>
    <row r="14" ht="25.5" customHeight="1" s="144">
      <c r="A14" s="233" t="n">
        <v>8</v>
      </c>
      <c r="B14" s="234" t="inlineStr">
        <is>
          <t>마약류사범 신입 인원</t>
        </is>
      </c>
      <c r="C14" s="235" t="inlineStr">
        <is>
          <t>명</t>
        </is>
      </c>
      <c r="D14" s="238" t="n"/>
      <c r="E14" s="239" t="inlineStr">
        <is>
          <t>미회신</t>
        </is>
      </c>
      <c r="F14" s="159" t="inlineStr">
        <is>
          <t>IN-N-08  회전</t>
        </is>
      </c>
    </row>
    <row r="15" ht="25.5" customHeight="1" s="144">
      <c r="A15" s="233" t="n">
        <v>9</v>
      </c>
      <c r="B15" s="234" t="inlineStr">
        <is>
          <t>마약류사범 출소 인원</t>
        </is>
      </c>
      <c r="C15" s="235" t="inlineStr">
        <is>
          <t>명</t>
        </is>
      </c>
      <c r="D15" s="238" t="n"/>
      <c r="E15" s="239" t="inlineStr">
        <is>
          <t>미회신</t>
        </is>
      </c>
      <c r="F15" s="159" t="inlineStr">
        <is>
          <t>IN-N-08  회전 / OC-01</t>
        </is>
      </c>
    </row>
    <row r="16" ht="15" customHeight="1" s="144">
      <c r="B16" s="240" t="inlineStr">
        <is>
          <t>참고)  마약류사범 수용인원은 2021년 3,314명에서 2025년 7,429명으로 늘어난 것으로 보도되었습니다.</t>
        </is>
      </c>
    </row>
    <row r="18" ht="15" customHeight="1" s="144">
      <c r="A18" s="241" t="inlineStr">
        <is>
          <t>산출이 어려운 항목의 이유 (한 줄이면 충분합니다)</t>
        </is>
      </c>
    </row>
    <row r="19" ht="15" customHeight="1" s="144">
      <c r="A19" s="242" t="n"/>
      <c r="B19" s="237" t="inlineStr">
        <is>
          <t>사유(보안과): 해당 통계는 공식 통계로 집계 및 제공하고 있지 않음</t>
        </is>
      </c>
      <c r="C19" s="242" t="n"/>
      <c r="D19" s="242" t="n"/>
      <c r="E19" s="242" t="n"/>
      <c r="F19" s="242" t="n"/>
      <c r="G19" s="242" t="n"/>
    </row>
    <row r="20" ht="15" customHeight="1" s="144">
      <c r="A20" s="242" t="n"/>
      <c r="B20" s="242" t="n"/>
      <c r="C20" s="242" t="n"/>
      <c r="D20" s="242" t="n"/>
      <c r="E20" s="242" t="n"/>
      <c r="F20" s="242" t="n"/>
      <c r="G20" s="242" t="n"/>
    </row>
    <row r="21" ht="15" customHeight="1" s="144">
      <c r="A21" s="242" t="n"/>
      <c r="B21" s="242" t="n"/>
      <c r="C21" s="242" t="n"/>
      <c r="D21" s="242" t="n"/>
      <c r="E21" s="242" t="n"/>
      <c r="F21" s="242" t="n"/>
      <c r="G21" s="242" t="n"/>
    </row>
  </sheetData>
  <mergeCells count="5">
    <mergeCell ref="B3:G3"/>
    <mergeCell ref="B2:G2"/>
    <mergeCell ref="A1:G1"/>
    <mergeCell ref="A18:G18"/>
    <mergeCell ref="B4:G4"/>
  </mergeCells>
  <dataValidations count="1">
    <dataValidation sqref="E7:E15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1"/>
  </sheetPr>
  <dimension ref="A1:J3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19" activePane="bottomLeft" state="frozen"/>
      <selection pane="topLeft" activeCell="A1" activeCellId="0" sqref="A1"/>
      <selection pane="bottomLeft" activeCell="A32" activeCellId="0" sqref="A32"/>
    </sheetView>
  </sheetViews>
  <sheetFormatPr baseColWidth="8" defaultColWidth="8.71484375" defaultRowHeight="15" zeroHeight="0" outlineLevelRow="0"/>
  <cols>
    <col width="9" customWidth="1" style="143" min="1" max="1"/>
    <col width="20" customWidth="1" style="143" min="2" max="2"/>
    <col width="14" customWidth="1" style="143" min="3" max="3"/>
    <col width="11" customWidth="1" style="143" min="4" max="5"/>
    <col width="12" customWidth="1" style="143" min="6" max="7"/>
    <col width="13" customWidth="1" style="143" min="8" max="8"/>
    <col width="20" customWidth="1" style="143" min="9" max="9"/>
    <col width="30" customWidth="1" style="143" min="10" max="10"/>
  </cols>
  <sheetData>
    <row r="1" ht="24" customHeight="1" s="144">
      <c r="A1" s="152" t="inlineStr">
        <is>
          <t xml:space="preserve">서식 4.  마약사범 재활교육 운영실적         </t>
        </is>
      </c>
    </row>
    <row r="2" ht="15" customHeight="1" s="144">
      <c r="A2" s="228" t="inlineStr">
        <is>
          <t>무엇에 쓰나요</t>
        </is>
      </c>
      <c r="B2" s="229" t="inlineStr">
        <is>
          <t>재활 프로그램 1인당 비용의 아래쪽(인원)이며, 동시에 효과 분석의 대상 규모가 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마약사범재활과·심리치료과의 프로그램 운영실적 보고, 교정통계연보 제Ⅲ편 제9장(심리치료).</t>
        </is>
      </c>
    </row>
    <row r="4" ht="30" customHeight="1" s="144">
      <c r="A4" s="230" t="inlineStr">
        <is>
          <t>꼭 봐주세요</t>
        </is>
      </c>
      <c r="B4" s="231" t="inlineStr">
        <is>
          <t>과정유형별로 나누어 주시는 것이 중요합니다. 40시간 과정과 160시간 과정은 투입 자원이 4배 차이라 합쳐 버리면 1인당 원가가 왜곡됩니다. 중도탈락 인원도 꼭 함께 적어 주십시오.</t>
        </is>
      </c>
    </row>
    <row r="6" ht="33.75" customHeight="1" s="144">
      <c r="A6" s="154" t="inlineStr">
        <is>
          <t>연도</t>
        </is>
      </c>
      <c r="B6" s="154" t="inlineStr">
        <is>
          <t>기관명</t>
        </is>
      </c>
      <c r="C6" s="154" t="inlineStr">
        <is>
          <t>과정유형</t>
        </is>
      </c>
      <c r="D6" s="154" t="inlineStr">
        <is>
          <t>과정시간</t>
        </is>
      </c>
      <c r="E6" s="154" t="inlineStr">
        <is>
          <t>기수(회)</t>
        </is>
      </c>
      <c r="F6" s="154" t="inlineStr">
        <is>
          <t>개시(명)</t>
        </is>
      </c>
      <c r="G6" s="154" t="inlineStr">
        <is>
          <t>이수(명)</t>
        </is>
      </c>
      <c r="H6" s="154" t="inlineStr">
        <is>
          <t>중도탈락(명)</t>
        </is>
      </c>
      <c r="I6" s="154" t="inlineStr">
        <is>
          <t>탈락 주요사유</t>
        </is>
      </c>
      <c r="J6" s="154" t="inlineStr">
        <is>
          <t>비고 (모델 KEY)</t>
        </is>
      </c>
    </row>
    <row r="7" ht="24" customHeight="1" s="144">
      <c r="A7" s="256" t="n">
        <v>2026</v>
      </c>
      <c r="B7" s="257" t="inlineStr">
        <is>
          <t>(예시) 광주교도소</t>
        </is>
      </c>
      <c r="C7" s="258" t="inlineStr">
        <is>
          <t>심화</t>
        </is>
      </c>
      <c r="D7" s="256" t="n">
        <v>120</v>
      </c>
      <c r="E7" s="256" t="n"/>
      <c r="F7" s="256" t="n"/>
      <c r="G7" s="256" t="n"/>
      <c r="H7" s="256" t="n"/>
      <c r="I7" s="259" t="inlineStr">
        <is>
          <t>이송·출소</t>
        </is>
      </c>
      <c r="J7" s="159" t="inlineStr">
        <is>
          <t>PG-N-01 개시 / PG-N-02 이수 / PG-N-03 탈락 / PG-D-01 인시</t>
        </is>
      </c>
    </row>
    <row r="8" ht="24" customHeight="1" s="144">
      <c r="A8" s="260" t="n">
        <v>2024</v>
      </c>
      <c r="B8" s="261" t="inlineStr">
        <is>
          <t>전국 합계</t>
        </is>
      </c>
      <c r="C8" s="262" t="inlineStr">
        <is>
          <t>기본</t>
        </is>
      </c>
      <c r="D8" s="260" t="n">
        <v>40</v>
      </c>
      <c r="E8" s="260" t="n"/>
      <c r="F8" s="260" t="n"/>
      <c r="G8" s="263" t="n">
        <v>1052</v>
      </c>
      <c r="H8" s="260" t="n"/>
      <c r="I8" s="264" t="n"/>
      <c r="J8" s="265" t="inlineStr">
        <is>
          <t>PG-N-01 개시 / PG-N-02 이수 / PG-N-03 탈락 / PG-D-01 인시</t>
        </is>
      </c>
    </row>
    <row r="9" ht="24" customHeight="1" s="144">
      <c r="A9" s="256" t="n">
        <v>2024</v>
      </c>
      <c r="B9" s="266" t="inlineStr">
        <is>
          <t>전국 합계</t>
        </is>
      </c>
      <c r="C9" s="258" t="inlineStr">
        <is>
          <t>집중</t>
        </is>
      </c>
      <c r="D9" s="256" t="n">
        <v>80</v>
      </c>
      <c r="E9" s="256" t="n"/>
      <c r="F9" s="256" t="n"/>
      <c r="G9" s="267" t="n">
        <v>140</v>
      </c>
      <c r="H9" s="256" t="n"/>
      <c r="I9" s="257" t="n"/>
      <c r="J9" s="159" t="inlineStr">
        <is>
          <t>PG-N-01 개시 / PG-N-02 이수 / PG-N-03 탈락 / PG-D-01 인시</t>
        </is>
      </c>
    </row>
    <row r="10" ht="24" customHeight="1" s="144">
      <c r="A10" s="256" t="n">
        <v>2024</v>
      </c>
      <c r="B10" s="266" t="inlineStr">
        <is>
          <t>전국 합계</t>
        </is>
      </c>
      <c r="C10" s="258" t="inlineStr">
        <is>
          <t>심화</t>
        </is>
      </c>
      <c r="D10" s="256" t="n">
        <v>120</v>
      </c>
      <c r="E10" s="256" t="n"/>
      <c r="F10" s="256" t="n"/>
      <c r="G10" s="267" t="n">
        <v>44</v>
      </c>
      <c r="H10" s="256" t="n"/>
      <c r="I10" s="257" t="n"/>
      <c r="J10" s="159" t="inlineStr">
        <is>
          <t>PG-N-01 개시 / PG-N-02 이수 / PG-N-03 탈락 / PG-D-01 인시</t>
        </is>
      </c>
    </row>
    <row r="11" ht="24" customHeight="1" s="144">
      <c r="A11" s="256" t="n">
        <v>2024</v>
      </c>
      <c r="B11" s="266" t="inlineStr">
        <is>
          <t>전국 합계</t>
        </is>
      </c>
      <c r="C11" s="258" t="inlineStr">
        <is>
          <t>회복이음</t>
        </is>
      </c>
      <c r="D11" s="256" t="n">
        <v>160</v>
      </c>
      <c r="E11" s="256" t="n"/>
      <c r="F11" s="256" t="n"/>
      <c r="G11" s="267" t="n">
        <v>91</v>
      </c>
      <c r="H11" s="256" t="n"/>
      <c r="I11" s="257" t="n"/>
      <c r="J11" s="159" t="inlineStr">
        <is>
          <t>PG-N-01 개시 / PG-N-02 이수 / PG-N-03 탈락 / PG-D-01 인시</t>
        </is>
      </c>
    </row>
    <row r="12" ht="24" customHeight="1" s="144">
      <c r="A12" s="256" t="n">
        <v>2025</v>
      </c>
      <c r="B12" s="266" t="inlineStr">
        <is>
          <t>전국 합계</t>
        </is>
      </c>
      <c r="C12" s="258" t="inlineStr">
        <is>
          <t>기본</t>
        </is>
      </c>
      <c r="D12" s="256" t="n">
        <v>40</v>
      </c>
      <c r="E12" s="256" t="n"/>
      <c r="F12" s="256" t="n"/>
      <c r="G12" s="267" t="n">
        <v>1246</v>
      </c>
      <c r="H12" s="256" t="n"/>
      <c r="I12" s="257" t="n"/>
      <c r="J12" s="159" t="inlineStr">
        <is>
          <t>PG-N-01 개시 / PG-N-02 이수 / PG-N-03 탈락 / PG-D-01 인시</t>
        </is>
      </c>
    </row>
    <row r="13" ht="24" customHeight="1" s="144">
      <c r="A13" s="256" t="n">
        <v>2025</v>
      </c>
      <c r="B13" s="266" t="inlineStr">
        <is>
          <t>전국 합계</t>
        </is>
      </c>
      <c r="C13" s="258" t="inlineStr">
        <is>
          <t>집중</t>
        </is>
      </c>
      <c r="D13" s="256" t="n">
        <v>80</v>
      </c>
      <c r="E13" s="256" t="n"/>
      <c r="F13" s="256" t="n"/>
      <c r="G13" s="267" t="n">
        <v>164</v>
      </c>
      <c r="H13" s="256" t="n"/>
      <c r="I13" s="257" t="n"/>
      <c r="J13" s="159" t="inlineStr">
        <is>
          <t>PG-N-01 개시 / PG-N-02 이수 / PG-N-03 탈락 / PG-D-01 인시</t>
        </is>
      </c>
    </row>
    <row r="14" ht="24" customHeight="1" s="144">
      <c r="A14" s="256" t="n">
        <v>2025</v>
      </c>
      <c r="B14" s="266" t="inlineStr">
        <is>
          <t>전국 합계</t>
        </is>
      </c>
      <c r="C14" s="258" t="inlineStr">
        <is>
          <t>심화</t>
        </is>
      </c>
      <c r="D14" s="256" t="n">
        <v>120</v>
      </c>
      <c r="E14" s="256" t="n"/>
      <c r="F14" s="256" t="n"/>
      <c r="G14" s="267" t="n">
        <v>41</v>
      </c>
      <c r="H14" s="256" t="n"/>
      <c r="I14" s="257" t="n"/>
      <c r="J14" s="159" t="inlineStr">
        <is>
          <t>PG-N-01 개시 / PG-N-02 이수 / PG-N-03 탈락 / PG-D-01 인시</t>
        </is>
      </c>
    </row>
    <row r="15" ht="24" customHeight="1" s="144">
      <c r="A15" s="256" t="n">
        <v>2025</v>
      </c>
      <c r="B15" s="266" t="inlineStr">
        <is>
          <t>전국 합계</t>
        </is>
      </c>
      <c r="C15" s="258" t="inlineStr">
        <is>
          <t>회복이음</t>
        </is>
      </c>
      <c r="D15" s="256" t="n">
        <v>160</v>
      </c>
      <c r="E15" s="256" t="n"/>
      <c r="F15" s="256" t="n"/>
      <c r="G15" s="267" t="n">
        <v>138</v>
      </c>
      <c r="H15" s="256" t="n"/>
      <c r="I15" s="257" t="n"/>
      <c r="J15" s="159" t="inlineStr">
        <is>
          <t>PG-N-01 개시 / PG-N-02 이수 / PG-N-03 탈락 / PG-D-01 인시</t>
        </is>
      </c>
    </row>
    <row r="16" ht="24" customHeight="1" s="144">
      <c r="A16" s="268" t="inlineStr">
        <is>
          <t>2026(7월까지)</t>
        </is>
      </c>
      <c r="B16" s="266" t="inlineStr">
        <is>
          <t>전국 합계</t>
        </is>
      </c>
      <c r="C16" s="258" t="inlineStr">
        <is>
          <t>기본</t>
        </is>
      </c>
      <c r="D16" s="256" t="n">
        <v>40</v>
      </c>
      <c r="E16" s="256" t="n"/>
      <c r="F16" s="256" t="n"/>
      <c r="G16" s="267" t="n">
        <v>753</v>
      </c>
      <c r="H16" s="256" t="n"/>
      <c r="I16" s="257" t="n"/>
      <c r="J16" s="159" t="inlineStr">
        <is>
          <t>PG-N-01 개시 / PG-N-02 이수 / PG-N-03 탈락 / PG-D-01 인시</t>
        </is>
      </c>
    </row>
    <row r="17" ht="24" customHeight="1" s="144">
      <c r="A17" s="268" t="inlineStr">
        <is>
          <t>2026(7월까지)</t>
        </is>
      </c>
      <c r="B17" s="266" t="inlineStr">
        <is>
          <t>전국 합계</t>
        </is>
      </c>
      <c r="C17" s="258" t="inlineStr">
        <is>
          <t>집중</t>
        </is>
      </c>
      <c r="D17" s="256" t="n">
        <v>80</v>
      </c>
      <c r="E17" s="256" t="n"/>
      <c r="F17" s="256" t="n"/>
      <c r="G17" s="267" t="n">
        <v>88</v>
      </c>
      <c r="H17" s="256" t="n"/>
      <c r="I17" s="257" t="n"/>
      <c r="J17" s="159" t="inlineStr">
        <is>
          <t>PG-N-01 개시 / PG-N-02 이수 / PG-N-03 탈락 / PG-D-01 인시</t>
        </is>
      </c>
    </row>
    <row r="18" ht="24" customHeight="1" s="144">
      <c r="A18" s="268" t="inlineStr">
        <is>
          <t>2026(7월까지)</t>
        </is>
      </c>
      <c r="B18" s="266" t="inlineStr">
        <is>
          <t>전국 합계</t>
        </is>
      </c>
      <c r="C18" s="258" t="inlineStr">
        <is>
          <t>심화</t>
        </is>
      </c>
      <c r="D18" s="256" t="n">
        <v>120</v>
      </c>
      <c r="E18" s="256" t="n"/>
      <c r="F18" s="256" t="n"/>
      <c r="G18" s="267" t="n">
        <v>16</v>
      </c>
      <c r="H18" s="256" t="n"/>
      <c r="I18" s="257" t="n"/>
      <c r="J18" s="159" t="inlineStr">
        <is>
          <t>PG-N-01 개시 / PG-N-02 이수 / PG-N-03 탈락 / PG-D-01 인시</t>
        </is>
      </c>
    </row>
    <row r="19" ht="24" customHeight="1" s="144">
      <c r="A19" s="268" t="inlineStr">
        <is>
          <t>2026(7월까지)</t>
        </is>
      </c>
      <c r="B19" s="266" t="inlineStr">
        <is>
          <t>전국 합계</t>
        </is>
      </c>
      <c r="C19" s="258" t="inlineStr">
        <is>
          <t>회복이음</t>
        </is>
      </c>
      <c r="D19" s="256" t="n">
        <v>160</v>
      </c>
      <c r="E19" s="256" t="n"/>
      <c r="F19" s="256" t="n"/>
      <c r="G19" s="267" t="n">
        <v>85</v>
      </c>
      <c r="H19" s="256" t="n"/>
      <c r="I19" s="257" t="n"/>
      <c r="J19" s="159" t="inlineStr">
        <is>
          <t>PG-N-01 개시 / PG-N-02 이수 / PG-N-03 탈락 / PG-D-01 인시</t>
        </is>
      </c>
    </row>
    <row r="20" ht="24" customHeight="1" s="144">
      <c r="A20" s="242" t="n"/>
      <c r="B20" s="242" t="n"/>
      <c r="C20" s="242" t="n"/>
      <c r="D20" s="242" t="n"/>
      <c r="E20" s="242" t="n"/>
      <c r="F20" s="242" t="n"/>
      <c r="G20" s="242" t="n"/>
      <c r="H20" s="242" t="n"/>
      <c r="I20" s="242" t="n"/>
      <c r="J20" s="269" t="inlineStr">
        <is>
          <t>PG-N-01 개시 / PG-N-02 이수 / PG-N-03 탈락 / PG-D-01 인시</t>
        </is>
      </c>
    </row>
    <row r="21" ht="24" customHeight="1" s="144">
      <c r="A21" s="242" t="n"/>
      <c r="B21" s="242" t="n"/>
      <c r="C21" s="242" t="n"/>
      <c r="D21" s="242" t="n"/>
      <c r="E21" s="242" t="n"/>
      <c r="F21" s="242" t="n"/>
      <c r="G21" s="242" t="n"/>
      <c r="H21" s="242" t="n"/>
      <c r="I21" s="242" t="n"/>
      <c r="J21" s="269" t="inlineStr">
        <is>
          <t>PG-N-01 개시 / PG-N-02 이수 / PG-N-03 탈락 / PG-D-01 인시</t>
        </is>
      </c>
    </row>
    <row r="22" ht="24" customHeight="1" s="144">
      <c r="A22" s="242" t="n"/>
      <c r="B22" s="242" t="n"/>
      <c r="C22" s="242" t="n"/>
      <c r="D22" s="242" t="n"/>
      <c r="E22" s="242" t="n"/>
      <c r="F22" s="242" t="n"/>
      <c r="G22" s="242" t="n"/>
      <c r="H22" s="242" t="n"/>
      <c r="I22" s="242" t="n"/>
      <c r="J22" s="269" t="inlineStr">
        <is>
          <t>PG-N-01 개시 / PG-N-02 이수 / PG-N-03 탈락 / PG-D-01 인시</t>
        </is>
      </c>
    </row>
    <row r="23" ht="24" customHeight="1" s="144">
      <c r="A23" s="242" t="n"/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69" t="inlineStr">
        <is>
          <t>PG-N-01 개시 / PG-N-02 이수 / PG-N-03 탈락 / PG-D-01 인시</t>
        </is>
      </c>
    </row>
    <row r="24" ht="24" customHeight="1" s="144">
      <c r="A24" s="242" t="n"/>
      <c r="B24" s="242" t="n"/>
      <c r="C24" s="242" t="n"/>
      <c r="D24" s="242" t="n"/>
      <c r="E24" s="242" t="n"/>
      <c r="F24" s="242" t="n"/>
      <c r="G24" s="242" t="n"/>
      <c r="H24" s="242" t="n"/>
      <c r="I24" s="242" t="n"/>
      <c r="J24" s="269" t="inlineStr">
        <is>
          <t>PG-N-01 개시 / PG-N-02 이수 / PG-N-03 탈락 / PG-D-01 인시</t>
        </is>
      </c>
    </row>
    <row r="25" ht="24" customHeight="1" s="144">
      <c r="A25" s="242" t="n"/>
      <c r="B25" s="242" t="n"/>
      <c r="C25" s="242" t="n"/>
      <c r="D25" s="242" t="n"/>
      <c r="E25" s="242" t="n"/>
      <c r="F25" s="242" t="n"/>
      <c r="G25" s="242" t="n"/>
      <c r="H25" s="242" t="n"/>
      <c r="I25" s="242" t="n"/>
      <c r="J25" s="269" t="inlineStr">
        <is>
          <t>PG-N-01 개시 / PG-N-02 이수 / PG-N-03 탈락 / PG-D-01 인시</t>
        </is>
      </c>
    </row>
    <row r="26" ht="24" customHeight="1" s="144">
      <c r="A26" s="242" t="n"/>
      <c r="B26" s="242" t="n"/>
      <c r="C26" s="242" t="n"/>
      <c r="D26" s="242" t="n"/>
      <c r="E26" s="242" t="n"/>
      <c r="F26" s="242" t="n"/>
      <c r="G26" s="242" t="n"/>
      <c r="H26" s="242" t="n"/>
      <c r="I26" s="242" t="n"/>
      <c r="J26" s="269" t="inlineStr">
        <is>
          <t>PG-N-01 개시 / PG-N-02 이수 / PG-N-03 탈락 / PG-D-01 인시</t>
        </is>
      </c>
    </row>
    <row r="27" ht="24" customHeight="1" s="144">
      <c r="A27" s="242" t="n"/>
      <c r="B27" s="242" t="n"/>
      <c r="C27" s="242" t="n"/>
      <c r="D27" s="242" t="n"/>
      <c r="E27" s="242" t="n"/>
      <c r="F27" s="242" t="n"/>
      <c r="G27" s="242" t="n"/>
      <c r="H27" s="242" t="n"/>
      <c r="I27" s="242" t="n"/>
      <c r="J27" s="269" t="inlineStr">
        <is>
          <t>PG-N-01 개시 / PG-N-02 이수 / PG-N-03 탈락 / PG-D-01 인시</t>
        </is>
      </c>
    </row>
    <row r="28" ht="24" customHeight="1" s="144">
      <c r="A28" s="242" t="n"/>
      <c r="B28" s="242" t="n"/>
      <c r="C28" s="242" t="n"/>
      <c r="D28" s="242" t="n"/>
      <c r="E28" s="242" t="n"/>
      <c r="F28" s="242" t="n"/>
      <c r="G28" s="242" t="n"/>
      <c r="H28" s="242" t="n"/>
      <c r="I28" s="242" t="n"/>
      <c r="J28" s="269" t="inlineStr">
        <is>
          <t>PG-N-01 개시 / PG-N-02 이수 / PG-N-03 탈락 / PG-D-01 인시</t>
        </is>
      </c>
    </row>
    <row r="29" ht="24" customHeight="1" s="144">
      <c r="A29" s="242" t="n"/>
      <c r="B29" s="242" t="n"/>
      <c r="C29" s="242" t="n"/>
      <c r="D29" s="242" t="n"/>
      <c r="E29" s="242" t="n"/>
      <c r="F29" s="242" t="n"/>
      <c r="G29" s="242" t="n"/>
      <c r="H29" s="242" t="n"/>
      <c r="I29" s="242" t="n"/>
      <c r="J29" s="269" t="inlineStr">
        <is>
          <t>PG-N-01 개시 / PG-N-02 이수 / PG-N-03 탈락 / PG-D-01 인시</t>
        </is>
      </c>
    </row>
    <row r="31" ht="15" customHeight="1" s="144">
      <c r="A31" s="241" t="inlineStr">
        <is>
          <t>산출이 어려운 항목의 이유 (한 줄이면 충분합니다)</t>
        </is>
      </c>
    </row>
    <row r="32" ht="15" customHeight="1" s="144">
      <c r="A32" s="237" t="inlineStr">
        <is>
          <t>회신(마약사범재활팀): 이수 인원만 전국 합계로 회신. 기수·개시·중도탈락은 "별도 집계 관리하고 있지 않은 항목에는 미응답". 같은 내용 파일 3개 수령.</t>
        </is>
      </c>
      <c r="B32" s="242" t="n"/>
      <c r="C32" s="242" t="n"/>
      <c r="D32" s="242" t="n"/>
      <c r="E32" s="242" t="n"/>
      <c r="F32" s="242" t="n"/>
      <c r="G32" s="242" t="n"/>
      <c r="H32" s="242" t="n"/>
      <c r="I32" s="242" t="n"/>
      <c r="J32" s="242" t="n"/>
    </row>
    <row r="33" ht="15" customHeight="1" s="144">
      <c r="A33" s="242" t="n"/>
      <c r="B33" s="242" t="n"/>
      <c r="C33" s="242" t="n"/>
      <c r="D33" s="242" t="n"/>
      <c r="E33" s="242" t="n"/>
      <c r="F33" s="242" t="n"/>
      <c r="G33" s="242" t="n"/>
      <c r="H33" s="242" t="n"/>
      <c r="I33" s="242" t="n"/>
      <c r="J33" s="242" t="n"/>
    </row>
    <row r="34" ht="15" customHeight="1" s="144">
      <c r="A34" s="242" t="n"/>
      <c r="B34" s="242" t="n"/>
      <c r="C34" s="242" t="n"/>
      <c r="D34" s="242" t="n"/>
      <c r="E34" s="242" t="n"/>
      <c r="F34" s="242" t="n"/>
      <c r="G34" s="242" t="n"/>
      <c r="H34" s="242" t="n"/>
      <c r="I34" s="242" t="n"/>
      <c r="J34" s="242" t="n"/>
    </row>
    <row r="35" ht="15" customHeight="1" s="144">
      <c r="A35" s="153" t="inlineStr">
        <is>
          <t>※ 과정유형 구분이 어려우시면 총 인원만이라도 좋습니다. 기관별 구분이 어려우시면 전국 합계도 도움이 됩니다.</t>
        </is>
      </c>
    </row>
  </sheetData>
  <mergeCells count="5">
    <mergeCell ref="A1:J1"/>
    <mergeCell ref="B3:J3"/>
    <mergeCell ref="A31:J31"/>
    <mergeCell ref="B4:J4"/>
    <mergeCell ref="B2:J2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I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24" activeCellId="0" sqref="A24"/>
    </sheetView>
  </sheetViews>
  <sheetFormatPr baseColWidth="8" defaultColWidth="8.71484375" defaultRowHeight="15" zeroHeight="0" outlineLevelRow="0"/>
  <cols>
    <col width="11" customWidth="1" style="143" min="1" max="1"/>
    <col width="20" customWidth="1" style="143" min="2" max="3"/>
    <col width="22" customWidth="1" style="143" min="4" max="4"/>
    <col width="11" customWidth="1" style="143" min="5" max="6"/>
    <col width="22" customWidth="1" style="143" min="7" max="7"/>
    <col width="32" customWidth="1" style="143" min="8" max="8"/>
  </cols>
  <sheetData>
    <row r="1" ht="24" customHeight="1" s="144">
      <c r="A1" s="152" t="inlineStr">
        <is>
          <t>서식 5.  재활 전담인력 현황</t>
        </is>
      </c>
    </row>
    <row r="2" ht="15" customHeight="1" s="144">
      <c r="A2" s="228" t="inlineStr">
        <is>
          <t>무엇에 쓰나요</t>
        </is>
      </c>
      <c r="B2" s="229" t="inlineStr">
        <is>
          <t>인건비 중 얼마를 재활 프로그램의 비용으로 볼지 정하는 데 씁니다.</t>
        </is>
      </c>
    </row>
    <row r="3" ht="15" customHeight="1" s="144">
      <c r="A3" s="228" t="inlineStr">
        <is>
          <t>어디서 나오나요</t>
        </is>
      </c>
      <c r="B3" s="229" t="inlineStr">
        <is>
          <t>마약사범재활과·심리치료과 정원표, 인사 자료.</t>
        </is>
      </c>
    </row>
    <row r="4" ht="30" customHeight="1" s="144">
      <c r="A4" s="230" t="inlineStr">
        <is>
          <t>꼭 봐주세요</t>
        </is>
      </c>
      <c r="B4" s="231" t="inlineStr">
        <is>
          <t>맨 오른쪽 '프로그램 직접투입 비율'은 정확한 값이 아니어도 됩니다. 담당자께서 보시기에 '업무시간의 70% 정도'와 같은 대략치면 충분합니다. 이 값이 없으면 인건비 전액을 프로그램 비용으로 계산하게 되어 원가가 크게 부풀려집니다.</t>
        </is>
      </c>
    </row>
    <row r="6" ht="33.75" customHeight="1" s="144">
      <c r="A6" s="154" t="inlineStr">
        <is>
          <t>기준연도</t>
        </is>
      </c>
      <c r="B6" s="154" t="inlineStr">
        <is>
          <t>기관명</t>
        </is>
      </c>
      <c r="C6" s="154" t="inlineStr">
        <is>
          <t>부서명</t>
        </is>
      </c>
      <c r="D6" s="154" t="inlineStr">
        <is>
          <t>직급·자격</t>
        </is>
      </c>
      <c r="E6" s="154" t="inlineStr">
        <is>
          <t>정원(명)</t>
        </is>
      </c>
      <c r="F6" s="154" t="inlineStr">
        <is>
          <t>현원(명)</t>
        </is>
      </c>
      <c r="G6" s="154" t="inlineStr">
        <is>
          <t>프로그램 직접투입 비율(%)</t>
        </is>
      </c>
      <c r="H6" s="154" t="inlineStr">
        <is>
          <t>비고 (모델 KEY)</t>
        </is>
      </c>
    </row>
    <row r="7" ht="24" customHeight="1" s="144">
      <c r="A7" s="260" t="n">
        <v>2026</v>
      </c>
      <c r="B7" s="264" t="inlineStr">
        <is>
          <t>(예시) 광주교도소</t>
        </is>
      </c>
      <c r="C7" s="270" t="inlineStr">
        <is>
          <t>마약사범재활과</t>
        </is>
      </c>
      <c r="D7" s="270" t="inlineStr">
        <is>
          <t>심리학 박사</t>
        </is>
      </c>
      <c r="E7" s="260" t="n"/>
      <c r="F7" s="260" t="n"/>
      <c r="G7" s="260" t="n">
        <v>70</v>
      </c>
      <c r="H7" s="265" t="inlineStr">
        <is>
          <t>PG-C-04 인건비 / PG-D-02 투입비율</t>
        </is>
      </c>
      <c r="I7" s="271" t="inlineStr">
        <is>
          <t>직급별 구성(회신 비고)</t>
        </is>
      </c>
    </row>
    <row r="8" ht="24" customHeight="1" s="144">
      <c r="A8" s="256" t="n">
        <v>2026</v>
      </c>
      <c r="B8" s="266" t="inlineStr">
        <is>
          <t>화성직업훈련(교)</t>
        </is>
      </c>
      <c r="C8" s="259" t="inlineStr">
        <is>
          <t>마약사범재활과</t>
        </is>
      </c>
      <c r="D8" s="266" t="inlineStr">
        <is>
          <t>중독심리전문가, 임상심리사 등</t>
        </is>
      </c>
      <c r="E8" s="272" t="n">
        <v>11</v>
      </c>
      <c r="F8" s="272" t="n">
        <v>11</v>
      </c>
      <c r="G8" s="272" t="n">
        <v>64</v>
      </c>
      <c r="H8" s="159" t="inlineStr">
        <is>
          <t>PG-C-04 인건비 / PG-D-02 투입비율</t>
        </is>
      </c>
      <c r="I8" s="273" t="inlineStr">
        <is>
          <t xml:space="preserve">5급 1명, 6급 3명, 7급 1명, 8급 2명, 9급 4명 </t>
        </is>
      </c>
    </row>
    <row r="9" ht="24" customHeight="1" s="144">
      <c r="A9" s="256" t="n">
        <v>2026</v>
      </c>
      <c r="B9" s="266" t="inlineStr">
        <is>
          <t>부산(교)</t>
        </is>
      </c>
      <c r="C9" s="259" t="inlineStr">
        <is>
          <t>마약사범재활과</t>
        </is>
      </c>
      <c r="D9" s="266" t="inlineStr">
        <is>
          <t>심리학 박사, 중독심리전문가, 범죄심리전문가 등</t>
        </is>
      </c>
      <c r="E9" s="272" t="n">
        <v>11</v>
      </c>
      <c r="F9" s="272" t="n">
        <v>11</v>
      </c>
      <c r="G9" s="272" t="n">
        <v>68.2</v>
      </c>
      <c r="H9" s="159" t="inlineStr">
        <is>
          <t>PG-C-04 인건비 / PG-D-02 투입비율</t>
        </is>
      </c>
      <c r="I9" s="273" t="inlineStr">
        <is>
          <t>5급 1명, 6급 2명, 7급 4명, 8급 4명</t>
        </is>
      </c>
    </row>
    <row r="10" ht="24" customHeight="1" s="144">
      <c r="A10" s="256" t="n">
        <v>2026</v>
      </c>
      <c r="B10" s="266" t="inlineStr">
        <is>
          <t>청주여자(교)</t>
        </is>
      </c>
      <c r="C10" s="259" t="inlineStr">
        <is>
          <t>마약사범재활과</t>
        </is>
      </c>
      <c r="D10" s="266" t="inlineStr">
        <is>
          <t>상담학 석사, 전문상담사 1급, 청소년상담사 1급, 임상심리사 1급 등</t>
        </is>
      </c>
      <c r="E10" s="272" t="n">
        <v>11</v>
      </c>
      <c r="F10" s="272" t="n">
        <v>11</v>
      </c>
      <c r="G10" s="272" t="n">
        <v>64</v>
      </c>
      <c r="H10" s="159" t="inlineStr">
        <is>
          <t>PG-C-04 인건비 / PG-D-02 투입비율</t>
        </is>
      </c>
      <c r="I10" s="273" t="inlineStr">
        <is>
          <t>5급 1명, 6급 1명, 7급 1명, 8급 3명, 9급 5명</t>
        </is>
      </c>
    </row>
    <row r="11" ht="24" customHeight="1" s="144">
      <c r="A11" s="256" t="n">
        <v>2026</v>
      </c>
      <c r="B11" s="266" t="inlineStr">
        <is>
          <t>광주(교)</t>
        </is>
      </c>
      <c r="C11" s="259" t="inlineStr">
        <is>
          <t>마약사범재활과</t>
        </is>
      </c>
      <c r="D11" s="266" t="inlineStr">
        <is>
          <t>정신건강임상심리사1급, 중독심리전문가, 청소년상담사 등</t>
        </is>
      </c>
      <c r="E11" s="272" t="n">
        <v>11</v>
      </c>
      <c r="F11" s="272" t="n">
        <v>11</v>
      </c>
      <c r="G11" s="272" t="n">
        <v>68.2</v>
      </c>
      <c r="H11" s="159" t="inlineStr">
        <is>
          <t>PG-C-04 인건비 / PG-D-02 투입비율</t>
        </is>
      </c>
      <c r="I11" s="273" t="inlineStr">
        <is>
          <t>5급 1명, 6급 2명, 7급 3명, 8급 2명, 9급 3명</t>
        </is>
      </c>
    </row>
    <row r="12" ht="24" customHeight="1" s="144">
      <c r="A12" s="242" t="n"/>
      <c r="B12" s="242" t="n"/>
      <c r="C12" s="242" t="n"/>
      <c r="D12" s="242" t="n"/>
      <c r="E12" s="242" t="n"/>
      <c r="F12" s="242" t="n"/>
      <c r="G12" s="242" t="n"/>
      <c r="H12" s="269" t="inlineStr">
        <is>
          <t>PG-C-04 인건비 / PG-D-02 투입비율</t>
        </is>
      </c>
    </row>
    <row r="13" ht="24" customHeight="1" s="144">
      <c r="A13" s="242" t="n"/>
      <c r="B13" s="242" t="n"/>
      <c r="C13" s="242" t="n"/>
      <c r="D13" s="242" t="n"/>
      <c r="E13" s="242" t="n"/>
      <c r="F13" s="242" t="n"/>
      <c r="G13" s="242" t="n"/>
      <c r="H13" s="269" t="inlineStr">
        <is>
          <t>PG-C-04 인건비 / PG-D-02 투입비율</t>
        </is>
      </c>
    </row>
    <row r="14" ht="24" customHeight="1" s="144">
      <c r="A14" s="242" t="n"/>
      <c r="B14" s="242" t="n"/>
      <c r="C14" s="242" t="n"/>
      <c r="D14" s="242" t="n"/>
      <c r="E14" s="242" t="n"/>
      <c r="F14" s="242" t="n"/>
      <c r="G14" s="242" t="n"/>
      <c r="H14" s="269" t="inlineStr">
        <is>
          <t>PG-C-04 인건비 / PG-D-02 투입비율</t>
        </is>
      </c>
    </row>
    <row r="15" ht="24" customHeight="1" s="144">
      <c r="A15" s="242" t="n"/>
      <c r="B15" s="242" t="n"/>
      <c r="C15" s="242" t="n"/>
      <c r="D15" s="242" t="n"/>
      <c r="E15" s="242" t="n"/>
      <c r="F15" s="242" t="n"/>
      <c r="G15" s="242" t="n"/>
      <c r="H15" s="269" t="inlineStr">
        <is>
          <t>PG-C-04 인건비 / PG-D-02 투입비율</t>
        </is>
      </c>
    </row>
    <row r="16" ht="24" customHeight="1" s="144">
      <c r="A16" s="242" t="n"/>
      <c r="B16" s="242" t="n"/>
      <c r="C16" s="242" t="n"/>
      <c r="D16" s="242" t="n"/>
      <c r="E16" s="242" t="n"/>
      <c r="F16" s="242" t="n"/>
      <c r="G16" s="242" t="n"/>
      <c r="H16" s="269" t="inlineStr">
        <is>
          <t>PG-C-04 인건비 / PG-D-02 투입비율</t>
        </is>
      </c>
    </row>
    <row r="17" ht="24" customHeight="1" s="144">
      <c r="A17" s="242" t="n"/>
      <c r="B17" s="242" t="n"/>
      <c r="C17" s="242" t="n"/>
      <c r="D17" s="242" t="n"/>
      <c r="E17" s="242" t="n"/>
      <c r="F17" s="242" t="n"/>
      <c r="G17" s="242" t="n"/>
      <c r="H17" s="269" t="inlineStr">
        <is>
          <t>PG-C-04 인건비 / PG-D-02 투입비율</t>
        </is>
      </c>
    </row>
    <row r="18" ht="24" customHeight="1" s="144">
      <c r="A18" s="242" t="n"/>
      <c r="B18" s="242" t="n"/>
      <c r="C18" s="242" t="n"/>
      <c r="D18" s="242" t="n"/>
      <c r="E18" s="242" t="n"/>
      <c r="F18" s="242" t="n"/>
      <c r="G18" s="242" t="n"/>
      <c r="H18" s="269" t="inlineStr">
        <is>
          <t>PG-C-04 인건비 / PG-D-02 투입비율</t>
        </is>
      </c>
    </row>
    <row r="19" ht="24" customHeight="1" s="144">
      <c r="A19" s="242" t="n"/>
      <c r="B19" s="242" t="n"/>
      <c r="C19" s="242" t="n"/>
      <c r="D19" s="242" t="n"/>
      <c r="E19" s="242" t="n"/>
      <c r="F19" s="242" t="n"/>
      <c r="G19" s="242" t="n"/>
      <c r="H19" s="269" t="inlineStr">
        <is>
          <t>PG-C-04 인건비 / PG-D-02 투입비율</t>
        </is>
      </c>
    </row>
    <row r="20" ht="24" customHeight="1" s="144">
      <c r="A20" s="242" t="n"/>
      <c r="B20" s="242" t="n"/>
      <c r="C20" s="242" t="n"/>
      <c r="D20" s="242" t="n"/>
      <c r="E20" s="242" t="n"/>
      <c r="F20" s="242" t="n"/>
      <c r="G20" s="242" t="n"/>
      <c r="H20" s="269" t="inlineStr">
        <is>
          <t>PG-C-04 인건비 / PG-D-02 투입비율</t>
        </is>
      </c>
    </row>
    <row r="21" ht="24" customHeight="1" s="144">
      <c r="A21" s="242" t="n"/>
      <c r="B21" s="242" t="n"/>
      <c r="C21" s="242" t="n"/>
      <c r="D21" s="242" t="n"/>
      <c r="E21" s="242" t="n"/>
      <c r="F21" s="242" t="n"/>
      <c r="G21" s="242" t="n"/>
      <c r="H21" s="269" t="inlineStr">
        <is>
          <t>PG-C-04 인건비 / PG-D-02 투입비율</t>
        </is>
      </c>
    </row>
    <row r="23" ht="15" customHeight="1" s="144">
      <c r="A23" s="241" t="inlineStr">
        <is>
          <t>산출이 어려운 항목의 이유 (한 줄이면 충분합니다)</t>
        </is>
      </c>
    </row>
    <row r="24" ht="15" customHeight="1" s="144">
      <c r="A24" s="242" t="n"/>
      <c r="B24" s="242" t="n"/>
      <c r="C24" s="242" t="n"/>
      <c r="D24" s="242" t="n"/>
      <c r="E24" s="242" t="n"/>
      <c r="F24" s="242" t="n"/>
      <c r="G24" s="242" t="n"/>
      <c r="H24" s="242" t="n"/>
    </row>
    <row r="25" ht="15" customHeight="1" s="144">
      <c r="A25" s="242" t="n"/>
      <c r="B25" s="242" t="n"/>
      <c r="C25" s="242" t="n"/>
      <c r="D25" s="242" t="n"/>
      <c r="E25" s="242" t="n"/>
      <c r="F25" s="242" t="n"/>
      <c r="G25" s="242" t="n"/>
      <c r="H25" s="242" t="n"/>
    </row>
    <row r="26" ht="15" customHeight="1" s="144">
      <c r="A26" s="242" t="n"/>
      <c r="B26" s="242" t="n"/>
      <c r="C26" s="242" t="n"/>
      <c r="D26" s="242" t="n"/>
      <c r="E26" s="242" t="n"/>
      <c r="F26" s="242" t="n"/>
      <c r="G26" s="242" t="n"/>
      <c r="H26" s="242" t="n"/>
    </row>
    <row r="27" ht="15" customHeight="1" s="144">
      <c r="A27" s="153" t="inlineStr">
        <is>
          <t>※ 정원만 적어 주셔도 됩니다. 인건비는 직급별 공무원 보수표로 저희가 환산하겠습니다.</t>
        </is>
      </c>
    </row>
  </sheetData>
  <mergeCells count="5">
    <mergeCell ref="B4:H4"/>
    <mergeCell ref="B2:H2"/>
    <mergeCell ref="A1:H1"/>
    <mergeCell ref="A23:H23"/>
    <mergeCell ref="B3:H3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1"/>
  </sheetPr>
  <dimension ref="A1:F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4"/>
    <col width="14" customWidth="1" style="143" min="5" max="5"/>
    <col width="30" customWidth="1" style="143" min="6" max="6"/>
  </cols>
  <sheetData>
    <row r="1" ht="24" customHeight="1" s="144">
      <c r="A1" s="152" t="inlineStr">
        <is>
          <t>서식 6.  마약사범 재활 관련 예산 집행내역          ★ 가장 중요한 세 가지 중 하나</t>
        </is>
      </c>
    </row>
    <row r="2" ht="15" customHeight="1" s="144">
      <c r="A2" s="228" t="inlineStr">
        <is>
          <t>무엇에 쓰나요</t>
        </is>
      </c>
      <c r="B2" s="229" t="inlineStr">
        <is>
          <t>재활 프로그램 1인당 비용의 위쪽(총액)입니다. 서식 4의 인원으로 나누어 원단위를 만듭니다.</t>
        </is>
      </c>
    </row>
    <row r="3" ht="15" customHeight="1" s="144">
      <c r="A3" s="228" t="inlineStr">
        <is>
          <t>어디서 나오나요</t>
        </is>
      </c>
      <c r="B3" s="229" t="inlineStr">
        <is>
          <t>「교정·교화」 사업 내 집행내역, 마약사범재활과 운영 예산.</t>
        </is>
      </c>
    </row>
    <row r="4" ht="30" customHeight="1" s="144">
      <c r="A4" s="230" t="inlineStr">
        <is>
          <t>꼭 봐주세요</t>
        </is>
      </c>
      <c r="B4" s="231" t="inlineStr">
        <is>
          <t>중독재활수용동 설치비처럼 여러 해에 걸쳐 쓰이는 시설비는 설치 연도와 총액을 알려주시면 저희가 내용연수로 나누어 반영하겠습니다.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2025년</t>
        </is>
      </c>
      <c r="E6" s="154" t="inlineStr">
        <is>
          <t>산출 가능 여부</t>
        </is>
      </c>
      <c r="F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외부 강사료·자문료</t>
        </is>
      </c>
      <c r="C7" s="235" t="inlineStr">
        <is>
          <t>원</t>
        </is>
      </c>
      <c r="D7" s="238" t="n"/>
      <c r="E7" s="239" t="inlineStr">
        <is>
          <t>산출 불가</t>
        </is>
      </c>
      <c r="F7" s="159" t="inlineStr">
        <is>
          <t>PG-C-05  운영비</t>
        </is>
      </c>
    </row>
    <row r="8" ht="25.5" customHeight="1" s="144">
      <c r="A8" s="233" t="n">
        <v>2</v>
      </c>
      <c r="B8" s="234" t="inlineStr">
        <is>
          <t>교재·검사도구 구입비</t>
        </is>
      </c>
      <c r="C8" s="235" t="inlineStr">
        <is>
          <t>원</t>
        </is>
      </c>
      <c r="D8" s="238" t="n"/>
      <c r="E8" s="239" t="inlineStr">
        <is>
          <t>산출 불가</t>
        </is>
      </c>
      <c r="F8" s="159" t="inlineStr">
        <is>
          <t>PG-C-05  운영비</t>
        </is>
      </c>
    </row>
    <row r="9" ht="25.5" customHeight="1" s="144">
      <c r="A9" s="233" t="n">
        <v>3</v>
      </c>
      <c r="B9" s="234" t="inlineStr">
        <is>
          <t>집단상담·프로그램 운영비</t>
        </is>
      </c>
      <c r="C9" s="235" t="inlineStr">
        <is>
          <t>원</t>
        </is>
      </c>
      <c r="D9" s="238" t="n"/>
      <c r="E9" s="239" t="inlineStr">
        <is>
          <t>산출 불가</t>
        </is>
      </c>
      <c r="F9" s="159" t="inlineStr">
        <is>
          <t>PG-C-05  운영비</t>
        </is>
      </c>
    </row>
    <row r="10" ht="25.5" customHeight="1" s="144">
      <c r="A10" s="233" t="n">
        <v>4</v>
      </c>
      <c r="B10" s="234" t="inlineStr">
        <is>
          <t>외부기관 위탁·민간협력비</t>
        </is>
      </c>
      <c r="C10" s="235" t="inlineStr">
        <is>
          <t>원</t>
        </is>
      </c>
      <c r="D10" s="238" t="n"/>
      <c r="E10" s="239" t="inlineStr">
        <is>
          <t>산출 불가</t>
        </is>
      </c>
      <c r="F10" s="159" t="inlineStr">
        <is>
          <t>PG-C-06  위탁</t>
        </is>
      </c>
    </row>
    <row r="11" ht="25.5" customHeight="1" s="144">
      <c r="A11" s="233" t="n">
        <v>5</v>
      </c>
      <c r="B11" s="234" t="inlineStr">
        <is>
          <t>중독재활수용동 운영비</t>
        </is>
      </c>
      <c r="C11" s="235" t="inlineStr">
        <is>
          <t>원</t>
        </is>
      </c>
      <c r="D11" s="238" t="n"/>
      <c r="E11" s="239" t="inlineStr">
        <is>
          <t>산출 불가</t>
        </is>
      </c>
      <c r="F11" s="159" t="inlineStr">
        <is>
          <t>PG-C-07  시설</t>
        </is>
      </c>
    </row>
    <row r="12" ht="25.5" customHeight="1" s="144">
      <c r="A12" s="233" t="n">
        <v>6</v>
      </c>
      <c r="B12" s="234" t="inlineStr">
        <is>
          <t>중독재활수용동 설치비 (설치연도 기재)</t>
        </is>
      </c>
      <c r="C12" s="235" t="inlineStr">
        <is>
          <t>원</t>
        </is>
      </c>
      <c r="D12" s="238" t="n"/>
      <c r="E12" s="239" t="inlineStr">
        <is>
          <t>산출 불가</t>
        </is>
      </c>
      <c r="F12" s="159" t="inlineStr">
        <is>
          <t>PG-C-07  시설(자본)</t>
        </is>
      </c>
    </row>
    <row r="13" ht="25.5" customHeight="1" s="144">
      <c r="A13" s="233" t="n">
        <v>7</v>
      </c>
      <c r="B13" s="234" t="inlineStr">
        <is>
          <t>심리치료 관련 집행액</t>
        </is>
      </c>
      <c r="C13" s="235" t="inlineStr">
        <is>
          <t>원</t>
        </is>
      </c>
      <c r="D13" s="238" t="n"/>
      <c r="E13" s="239" t="inlineStr">
        <is>
          <t>산출 불가</t>
        </is>
      </c>
      <c r="F13" s="159" t="inlineStr">
        <is>
          <t>PG-C-02  심리치료</t>
        </is>
      </c>
    </row>
    <row r="14" ht="25.5" customHeight="1" s="144">
      <c r="A14" s="233" t="n">
        <v>8</v>
      </c>
      <c r="B14" s="234" t="inlineStr">
        <is>
          <t>그 밖의 마약사범 재활 집행액</t>
        </is>
      </c>
      <c r="C14" s="235" t="inlineStr">
        <is>
          <t>원</t>
        </is>
      </c>
      <c r="D14" s="238" t="n"/>
      <c r="E14" s="239" t="inlineStr">
        <is>
          <t>산출 불가</t>
        </is>
      </c>
      <c r="F14" s="159" t="inlineStr">
        <is>
          <t>PG-C-03  마약재활</t>
        </is>
      </c>
    </row>
    <row r="15" ht="15" customHeight="1" s="144">
      <c r="A15" s="213" t="inlineStr">
        <is>
          <t>합계</t>
        </is>
      </c>
      <c r="B15" s="271" t="inlineStr">
        <is>
          <t>마약사범 재활 관련 예산 총액 (비목 구분 불가)</t>
        </is>
      </c>
      <c r="C15" s="253" t="inlineStr">
        <is>
          <t>원</t>
        </is>
      </c>
      <c r="D15" s="217" t="n">
        <v>5999392000</v>
      </c>
      <c r="E15" s="271" t="inlineStr">
        <is>
          <t>회신(복지과): 총액만</t>
        </is>
      </c>
    </row>
    <row r="17" ht="15" customHeight="1" s="144">
      <c r="A17" s="241" t="inlineStr">
        <is>
          <t>산출이 어려운 항목의 이유 (한 줄이면 충분합니다)</t>
        </is>
      </c>
    </row>
    <row r="18" ht="15" customHeight="1" s="144">
      <c r="A18" s="242" t="n"/>
      <c r="B18" s="237" t="inlineStr">
        <is>
          <t>교정본부에서 관리하는 집행내역은 &lt;교정교화&gt; 세부사업 내에서 비목별 구분만 가능함(일반수용비, 구호 및 교정비, 공사비, 자산취득비 등)</t>
        </is>
      </c>
      <c r="C18" s="242" t="n"/>
      <c r="D18" s="242" t="n"/>
      <c r="E18" s="242" t="n"/>
      <c r="F18" s="242" t="n"/>
    </row>
    <row r="19" ht="15" customHeight="1" s="144">
      <c r="A19" s="242" t="n"/>
      <c r="B19" s="237" t="inlineStr">
        <is>
          <t>마약사범 재활 관련 예산 총액 : 5,999,392,000원  → 예산액인지 집행액인지, 시설(설치)비 포함 여부 확인 필요</t>
        </is>
      </c>
      <c r="C19" s="242" t="n"/>
      <c r="D19" s="242" t="n"/>
      <c r="E19" s="242" t="n"/>
      <c r="F19" s="242" t="n"/>
    </row>
    <row r="20" ht="15" customHeight="1" s="144">
      <c r="A20" s="242" t="n"/>
      <c r="B20" s="242" t="n"/>
      <c r="C20" s="242" t="n"/>
      <c r="D20" s="242" t="n"/>
      <c r="E20" s="242" t="n"/>
      <c r="F20" s="242" t="n"/>
    </row>
    <row r="21" ht="15" customHeight="1" s="144">
      <c r="A21" s="153" t="inlineStr">
        <is>
          <t>※ 항목 구분이 어려우시면 마약사범 재활 관련 총액만이라도 적어 주십시오.</t>
        </is>
      </c>
    </row>
  </sheetData>
  <mergeCells count="5">
    <mergeCell ref="B4:F4"/>
    <mergeCell ref="B2:F2"/>
    <mergeCell ref="A1:F1"/>
    <mergeCell ref="B3:F3"/>
    <mergeCell ref="A17:F17"/>
  </mergeCells>
  <dataValidations count="1">
    <dataValidation sqref="E7:E14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M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23" activeCellId="0" sqref="A23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8"/>
    <col width="14" customWidth="1" style="143" min="9" max="9"/>
    <col width="30" customWidth="1" style="143" min="10" max="10"/>
  </cols>
  <sheetData>
    <row r="1" ht="24" customHeight="1" s="144">
      <c r="A1" s="152" t="inlineStr">
        <is>
          <t>서식 7.  의료·약물검사 실적 및 비용</t>
        </is>
      </c>
    </row>
    <row r="2" ht="15" customHeight="1" s="144">
      <c r="A2" s="228" t="inlineStr">
        <is>
          <t>무엇에 쓰나요</t>
        </is>
      </c>
      <c r="B2" s="229" t="inlineStr">
        <is>
          <t>중독자에 대한 치료개입 1인당 비용을 계산합니다.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의료과 예산·집행내역, 교정통계연보 제Ⅲ편 제2장(위생 및 의료), 검사 계약자료.</t>
        </is>
      </c>
    </row>
    <row r="4" ht="30" customHeight="1" s="144">
      <c r="A4" s="230" t="inlineStr">
        <is>
          <t>꼭 봐주세요</t>
        </is>
      </c>
      <c r="B4" s="231" t="inlineStr">
        <is>
          <t>의료비를 세 갈래로 나누기 어려우시면 총액과 건강보험 예탁금 두 가지만이라도 적어 주십시오.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2021년</t>
        </is>
      </c>
      <c r="E6" s="232" t="inlineStr">
        <is>
          <t>2022년</t>
        </is>
      </c>
      <c r="F6" s="232" t="inlineStr">
        <is>
          <t>2023년</t>
        </is>
      </c>
      <c r="G6" s="232" t="inlineStr">
        <is>
          <t>2024년</t>
        </is>
      </c>
      <c r="H6" s="232" t="inlineStr">
        <is>
          <t>2025년</t>
        </is>
      </c>
      <c r="I6" s="154" t="inlineStr">
        <is>
          <t>산출 가능 여부</t>
        </is>
      </c>
      <c r="J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수용자 의료비 집행액 (총액)</t>
        </is>
      </c>
      <c r="C7" s="235" t="inlineStr">
        <is>
          <t>원</t>
        </is>
      </c>
      <c r="D7" s="236" t="n">
        <v>3420606</v>
      </c>
      <c r="E7" s="236" t="n">
        <v>3447688</v>
      </c>
      <c r="F7" s="236" t="n">
        <v>4166977</v>
      </c>
      <c r="G7" s="236" t="n">
        <v>4495700</v>
      </c>
      <c r="H7" s="236" t="n">
        <v>5095510</v>
      </c>
      <c r="I7" s="239" t="inlineStr">
        <is>
          <t>단위 확인 필요: "원"으로 표기됐으나 천원으로 추정</t>
        </is>
      </c>
      <c r="J7" s="159" t="inlineStr">
        <is>
          <t>TX-C-01  의료 총괄</t>
        </is>
      </c>
    </row>
    <row r="8" ht="25.5" customHeight="1" s="144">
      <c r="A8" s="233" t="n">
        <v>2</v>
      </c>
      <c r="B8" s="234" t="inlineStr">
        <is>
          <t xml:space="preserve">  건강보험 예탁금</t>
        </is>
      </c>
      <c r="C8" s="235" t="inlineStr">
        <is>
          <t>원</t>
        </is>
      </c>
      <c r="D8" s="236" t="n">
        <v>1782500</v>
      </c>
      <c r="E8" s="236" t="n">
        <v>2000000</v>
      </c>
      <c r="F8" s="236" t="n">
        <v>2535021</v>
      </c>
      <c r="G8" s="236" t="n">
        <v>2906400</v>
      </c>
      <c r="H8" s="236" t="n">
        <v>3020629</v>
      </c>
      <c r="I8" s="239" t="inlineStr">
        <is>
          <t>단위 확인 필요: "원"으로 표기됐으나 천원으로 추정</t>
        </is>
      </c>
      <c r="J8" s="159" t="inlineStr">
        <is>
          <t>TX-C-02  건강보험</t>
        </is>
      </c>
    </row>
    <row r="9" ht="25.5" customHeight="1" s="144">
      <c r="A9" s="233" t="n">
        <v>3</v>
      </c>
      <c r="B9" s="234" t="inlineStr">
        <is>
          <t xml:space="preserve">  자체 진료비 (의약품·재료)</t>
        </is>
      </c>
      <c r="C9" s="235" t="inlineStr">
        <is>
          <t>원</t>
        </is>
      </c>
      <c r="D9" s="238" t="n"/>
      <c r="E9" s="238" t="n"/>
      <c r="F9" s="238" t="n"/>
      <c r="G9" s="238" t="n"/>
      <c r="H9" s="238" t="n"/>
      <c r="I9" s="239" t="inlineStr">
        <is>
          <t>미생산 통계(의료과)</t>
        </is>
      </c>
      <c r="J9" s="159" t="inlineStr">
        <is>
          <t>TX-C-03  자체진료</t>
        </is>
      </c>
    </row>
    <row r="10" ht="25.5" customHeight="1" s="144">
      <c r="A10" s="233" t="n">
        <v>4</v>
      </c>
      <c r="B10" s="234" t="inlineStr">
        <is>
          <t xml:space="preserve">  외부 의료기관 진료비 (호송 포함)</t>
        </is>
      </c>
      <c r="C10" s="235" t="inlineStr">
        <is>
          <t>원</t>
        </is>
      </c>
      <c r="D10" s="238" t="n"/>
      <c r="E10" s="238" t="n"/>
      <c r="F10" s="238" t="n"/>
      <c r="G10" s="238" t="n"/>
      <c r="H10" s="238" t="n"/>
      <c r="I10" s="239" t="inlineStr">
        <is>
          <t>미생산 통계(의료과)</t>
        </is>
      </c>
      <c r="J10" s="159" t="inlineStr">
        <is>
          <t>TX-C-04  외부진료</t>
        </is>
      </c>
    </row>
    <row r="11" ht="25.5" customHeight="1" s="144">
      <c r="A11" s="233" t="n">
        <v>5</v>
      </c>
      <c r="B11" s="234" t="inlineStr">
        <is>
          <t>의무직·간호직 인건비</t>
        </is>
      </c>
      <c r="C11" s="235" t="inlineStr">
        <is>
          <t>원</t>
        </is>
      </c>
      <c r="D11" s="238" t="n"/>
      <c r="E11" s="238" t="n"/>
      <c r="F11" s="238" t="n"/>
      <c r="G11" s="238" t="n"/>
      <c r="H11" s="238" t="n"/>
      <c r="I11" s="239" t="inlineStr">
        <is>
          <t>미생산 통계(의료과)</t>
        </is>
      </c>
      <c r="J11" s="159" t="inlineStr">
        <is>
          <t>TX-C-05  의료인건비</t>
        </is>
      </c>
    </row>
    <row r="12" ht="25.5" customHeight="1" s="144">
      <c r="A12" s="233" t="n">
        <v>6</v>
      </c>
      <c r="B12" s="234" t="inlineStr">
        <is>
          <t>정신건강의학과 진료·향정신성 의약품비</t>
        </is>
      </c>
      <c r="C12" s="235" t="inlineStr">
        <is>
          <t>원</t>
        </is>
      </c>
      <c r="D12" s="238" t="n"/>
      <c r="E12" s="238" t="n"/>
      <c r="F12" s="238" t="n"/>
      <c r="G12" s="238" t="n"/>
      <c r="H12" s="238" t="n"/>
      <c r="I12" s="239" t="inlineStr">
        <is>
          <t>미생산 통계(의료과)</t>
        </is>
      </c>
      <c r="J12" s="159" t="inlineStr">
        <is>
          <t>TX-C-07  정신과</t>
        </is>
      </c>
    </row>
    <row r="13" ht="25.5" customHeight="1" s="144">
      <c r="A13" s="233" t="n">
        <v>7</v>
      </c>
      <c r="B13" s="234" t="inlineStr">
        <is>
          <t>약물검사비 (소변)</t>
        </is>
      </c>
      <c r="C13" s="235" t="inlineStr">
        <is>
          <t>원</t>
        </is>
      </c>
      <c r="D13" s="238" t="n"/>
      <c r="E13" s="238" t="n"/>
      <c r="F13" s="238" t="n"/>
      <c r="G13" s="238" t="n"/>
      <c r="H13" s="238" t="n"/>
      <c r="I13" s="239" t="inlineStr">
        <is>
          <t>미생산 통계(의료과)</t>
        </is>
      </c>
      <c r="J13" s="159" t="inlineStr">
        <is>
          <t>TX-C-06  약물검사</t>
        </is>
      </c>
    </row>
    <row r="14" ht="25.5" customHeight="1" s="144">
      <c r="A14" s="233" t="n">
        <v>8</v>
      </c>
      <c r="B14" s="234" t="inlineStr">
        <is>
          <t>약물검사비 (모발)</t>
        </is>
      </c>
      <c r="C14" s="235" t="inlineStr">
        <is>
          <t>원</t>
        </is>
      </c>
      <c r="D14" s="238" t="n"/>
      <c r="E14" s="238" t="n"/>
      <c r="F14" s="238" t="n"/>
      <c r="G14" s="238" t="n"/>
      <c r="H14" s="238" t="n"/>
      <c r="I14" s="239" t="inlineStr">
        <is>
          <t>미생산 통계(의료과)</t>
        </is>
      </c>
      <c r="J14" s="159" t="inlineStr">
        <is>
          <t>TX-C-06  약물검사</t>
        </is>
      </c>
    </row>
    <row r="15" ht="25.5" customHeight="1" s="144">
      <c r="A15" s="233" t="n">
        <v>9</v>
      </c>
      <c r="B15" s="234" t="inlineStr">
        <is>
          <t>연간 진료 실인원</t>
        </is>
      </c>
      <c r="C15" s="235" t="inlineStr">
        <is>
          <t>명</t>
        </is>
      </c>
      <c r="D15" s="238" t="n"/>
      <c r="E15" s="238" t="n"/>
      <c r="F15" s="238" t="n"/>
      <c r="G15" s="238" t="n"/>
      <c r="H15" s="238" t="n"/>
      <c r="I15" s="239" t="inlineStr">
        <is>
          <t>미생산 통계(의료과)</t>
        </is>
      </c>
      <c r="J15" s="159" t="inlineStr">
        <is>
          <t>TX-N-01  진료 분모</t>
        </is>
      </c>
    </row>
    <row r="16" ht="25.5" customHeight="1" s="144">
      <c r="A16" s="233" t="n">
        <v>10</v>
      </c>
      <c r="B16" s="274" t="inlineStr">
        <is>
          <t>연간 진료 건수(내부)</t>
        </is>
      </c>
      <c r="C16" s="235" t="inlineStr">
        <is>
          <t>건</t>
        </is>
      </c>
      <c r="D16" s="236" t="n">
        <v>7812087</v>
      </c>
      <c r="E16" s="236" t="n">
        <v>6861741</v>
      </c>
      <c r="F16" s="236" t="n">
        <v>7448490</v>
      </c>
      <c r="G16" s="236" t="n">
        <v>8299530</v>
      </c>
      <c r="H16" s="236" t="n">
        <v>8708713</v>
      </c>
      <c r="I16" s="242" t="n"/>
      <c r="J16" s="159" t="inlineStr">
        <is>
          <t>TX-N-01  진료 분모</t>
        </is>
      </c>
    </row>
    <row r="17" ht="25.5" customHeight="1" s="144">
      <c r="A17" s="233" t="n">
        <v>11</v>
      </c>
      <c r="B17" s="234" t="inlineStr">
        <is>
          <t>외부진료 인원</t>
        </is>
      </c>
      <c r="C17" s="235" t="inlineStr">
        <is>
          <t>명</t>
        </is>
      </c>
      <c r="D17" s="236" t="n">
        <v>39176</v>
      </c>
      <c r="E17" s="236" t="n">
        <v>41243</v>
      </c>
      <c r="F17" s="236" t="n">
        <v>48349</v>
      </c>
      <c r="G17" s="236" t="n">
        <v>49175</v>
      </c>
      <c r="H17" s="236" t="n">
        <v>46782</v>
      </c>
      <c r="I17" s="242" t="n"/>
      <c r="J17" s="159" t="inlineStr">
        <is>
          <t>TX-N-02  외부진료 분모</t>
        </is>
      </c>
    </row>
    <row r="18" ht="25.5" customHeight="1" s="144">
      <c r="A18" s="233" t="n">
        <v>12</v>
      </c>
      <c r="B18" s="234" t="inlineStr">
        <is>
          <t>마약류사범 중 치료개입 대상 인원</t>
        </is>
      </c>
      <c r="C18" s="235" t="inlineStr">
        <is>
          <t>명</t>
        </is>
      </c>
      <c r="D18" s="238" t="n"/>
      <c r="E18" s="238" t="n"/>
      <c r="F18" s="238" t="n"/>
      <c r="G18" s="238" t="n"/>
      <c r="H18" s="238" t="n"/>
      <c r="I18" s="239" t="inlineStr">
        <is>
          <t>미생산 통계(의료과)</t>
        </is>
      </c>
      <c r="J18" s="159" t="inlineStr">
        <is>
          <t>TX-N-03  치료개입 분모</t>
        </is>
      </c>
    </row>
    <row r="19" ht="25.5" customHeight="1" s="144">
      <c r="A19" s="233" t="n">
        <v>13</v>
      </c>
      <c r="B19" s="234" t="inlineStr">
        <is>
          <t>약물검사 실시 건수</t>
        </is>
      </c>
      <c r="C19" s="235" t="inlineStr">
        <is>
          <t>건</t>
        </is>
      </c>
      <c r="D19" s="238" t="n"/>
      <c r="E19" s="238" t="n"/>
      <c r="F19" s="238" t="n"/>
      <c r="G19" s="238" t="n"/>
      <c r="H19" s="238" t="n"/>
      <c r="I19" s="239" t="inlineStr">
        <is>
          <t>미생산 통계(의료과)</t>
        </is>
      </c>
      <c r="J19" s="159" t="inlineStr">
        <is>
          <t>TX-N-04  검사 분모</t>
        </is>
      </c>
    </row>
    <row r="22" ht="15" customHeight="1" s="144">
      <c r="A22" s="241" t="inlineStr">
        <is>
          <t>산출이 어려운 항목의 이유 (한 줄이면 충분합니다)</t>
        </is>
      </c>
    </row>
    <row r="23" ht="15" customHeight="1" s="144">
      <c r="A23" s="242" t="n"/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42" t="n"/>
    </row>
    <row r="24" ht="15" customHeight="1" s="144">
      <c r="A24" s="242" t="n"/>
      <c r="B24" s="242" t="n"/>
      <c r="C24" s="242" t="n"/>
      <c r="D24" s="242" t="n"/>
      <c r="E24" s="242" t="n"/>
      <c r="F24" s="242" t="n"/>
      <c r="G24" s="242" t="n"/>
      <c r="H24" s="242" t="n"/>
      <c r="I24" s="242" t="n"/>
      <c r="J24" s="242" t="n"/>
    </row>
    <row r="25" ht="15" customHeight="1" s="144">
      <c r="A25" s="242" t="n"/>
      <c r="B25" s="242" t="n"/>
      <c r="C25" s="242" t="n"/>
      <c r="D25" s="242" t="n"/>
      <c r="E25" s="242" t="n"/>
      <c r="F25" s="242" t="n"/>
      <c r="G25" s="242" t="n"/>
      <c r="H25" s="242" t="n"/>
      <c r="I25" s="242" t="n"/>
      <c r="J25" s="242" t="n"/>
    </row>
  </sheetData>
  <mergeCells count="5">
    <mergeCell ref="B2:M2"/>
    <mergeCell ref="A1:M1"/>
    <mergeCell ref="B3:M3"/>
    <mergeCell ref="A22:J22"/>
    <mergeCell ref="B4:M4"/>
  </mergeCells>
  <dataValidations count="1">
    <dataValidation sqref="I7:I19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1"/>
  </sheetPr>
  <dimension ref="A1:J1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E19" activeCellId="0" sqref="E19"/>
    </sheetView>
  </sheetViews>
  <sheetFormatPr baseColWidth="8" defaultColWidth="8.71484375" defaultRowHeight="15" zeroHeight="0" outlineLevelRow="0"/>
  <cols>
    <col width="11" customWidth="1" style="143" min="1" max="1"/>
    <col width="18" customWidth="1" style="143" min="2" max="2"/>
    <col width="14" customWidth="1" style="143" min="3" max="3"/>
    <col width="16" customWidth="1" style="143" min="4" max="4"/>
    <col width="13" customWidth="1" style="143" min="5" max="5"/>
    <col width="12" customWidth="1" style="143" min="6" max="8"/>
    <col width="24" customWidth="1" style="143" min="9" max="9"/>
    <col width="30" customWidth="1" style="143" min="10" max="10"/>
  </cols>
  <sheetData>
    <row r="1" ht="24" customHeight="1" s="144">
      <c r="A1" s="152" t="inlineStr">
        <is>
          <t>서식 8.  출소 및 재복역 현황</t>
        </is>
      </c>
    </row>
    <row r="2" ht="15" customHeight="1" s="144">
      <c r="A2" s="228" t="inlineStr">
        <is>
          <t>무엇에 쓰나요</t>
        </is>
      </c>
      <c r="B2" s="229" t="inlineStr">
        <is>
          <t>재범이 원래 얼마나 일어나는지(기준선)를 확인합니다. 효과 계산의 비교 기준이 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교정통계연보 제Ⅲ편 제10장(수용의 종료), 내부 재복역 추적자료.</t>
        </is>
      </c>
    </row>
    <row r="4" ht="30" customHeight="1" s="144">
      <c r="A4" s="230" t="inlineStr">
        <is>
          <t>꼭 봐주세요</t>
        </is>
      </c>
      <c r="B4" s="231" t="inlineStr">
        <is>
          <t>재범률은 기준에 따라 값이 크게 다릅니다. 교정본부의 '재복역률', 대검찰청 백서의 '재범률', 경찰 검거 기준이 각각 다르므로, 적어 주신 값이 어느 정의인지 한 줄만 적어 주시면 감사하겠습니다.</t>
        </is>
      </c>
    </row>
    <row r="6" ht="33.75" customHeight="1" s="144">
      <c r="A6" s="154" t="inlineStr">
        <is>
          <t>출소연도</t>
        </is>
      </c>
      <c r="B6" s="154" t="inlineStr">
        <is>
          <t>대상</t>
        </is>
      </c>
      <c r="C6" s="154" t="inlineStr">
        <is>
          <t>출소인원(명)</t>
        </is>
      </c>
      <c r="D6" s="232" t="inlineStr">
        <is>
          <t>3년내 재복역(명)</t>
        </is>
      </c>
      <c r="E6" s="154" t="inlineStr">
        <is>
          <t>재복역률(%)</t>
        </is>
      </c>
      <c r="F6" s="232" t="inlineStr">
        <is>
          <t>6월내(명)</t>
        </is>
      </c>
      <c r="G6" s="232" t="inlineStr">
        <is>
          <t>1년내(명)</t>
        </is>
      </c>
      <c r="H6" s="232" t="inlineStr">
        <is>
          <t>2년내(명)</t>
        </is>
      </c>
      <c r="I6" s="154" t="inlineStr">
        <is>
          <t>정의·산출기준</t>
        </is>
      </c>
      <c r="J6" s="154" t="inlineStr">
        <is>
          <t>비고 (모델 KEY)</t>
        </is>
      </c>
    </row>
    <row r="7" ht="24" customHeight="1" s="144">
      <c r="A7" s="260" t="n">
        <v>2019</v>
      </c>
      <c r="B7" s="264" t="inlineStr">
        <is>
          <t>(예시) 마약류사범</t>
        </is>
      </c>
      <c r="C7" s="260" t="n"/>
      <c r="D7" s="260" t="n"/>
      <c r="E7" s="260" t="n"/>
      <c r="F7" s="260" t="n"/>
      <c r="G7" s="260" t="n"/>
      <c r="H7" s="260" t="n"/>
      <c r="I7" s="264" t="inlineStr">
        <is>
          <t>3년 이내 재복역 기준</t>
        </is>
      </c>
      <c r="J7" s="265" t="inlineStr">
        <is>
          <t>OC-01 코호트 / OC-02 기저재범률(r0) / OC-05 경과기간</t>
        </is>
      </c>
    </row>
    <row r="8" ht="24" customHeight="1" s="144">
      <c r="A8" s="256" t="n">
        <v>2024</v>
      </c>
      <c r="B8" s="259" t="inlineStr">
        <is>
          <t>마약류사범</t>
        </is>
      </c>
      <c r="C8" s="256" t="n"/>
      <c r="D8" s="256" t="n"/>
      <c r="E8" s="256" t="n"/>
      <c r="F8" s="256" t="n"/>
      <c r="G8" s="256" t="n"/>
      <c r="H8" s="256" t="n"/>
      <c r="I8" s="257" t="n"/>
      <c r="J8" s="159" t="inlineStr">
        <is>
          <t>OC-01 코호트 / OC-02 기저재범률(r0) / OC-05 경과기간</t>
        </is>
      </c>
    </row>
    <row r="9" ht="24" customHeight="1" s="144">
      <c r="A9" s="256" t="n">
        <v>2025</v>
      </c>
      <c r="B9" s="259" t="inlineStr">
        <is>
          <t>마약류사범</t>
        </is>
      </c>
      <c r="C9" s="256" t="n"/>
      <c r="D9" s="256" t="n"/>
      <c r="E9" s="256" t="n"/>
      <c r="F9" s="256" t="n"/>
      <c r="G9" s="256" t="n"/>
      <c r="H9" s="256" t="n"/>
      <c r="I9" s="257" t="n"/>
      <c r="J9" s="159" t="inlineStr">
        <is>
          <t>OC-01 코호트 / OC-02 기저재범률(r0) / OC-05 경과기간</t>
        </is>
      </c>
    </row>
    <row r="10" ht="24" customHeight="1" s="144">
      <c r="A10" s="242" t="n"/>
      <c r="B10" s="242" t="n"/>
      <c r="C10" s="242" t="n"/>
      <c r="D10" s="242" t="n"/>
      <c r="E10" s="242" t="n"/>
      <c r="F10" s="242" t="n"/>
      <c r="G10" s="242" t="n"/>
      <c r="H10" s="242" t="n"/>
      <c r="I10" s="242" t="n"/>
      <c r="J10" s="269" t="inlineStr">
        <is>
          <t>OC-01 코호트 / OC-02 기저재범률(r0) / OC-05 경과기간</t>
        </is>
      </c>
    </row>
    <row r="11" ht="24" customHeight="1" s="144">
      <c r="A11" s="242" t="n"/>
      <c r="B11" s="242" t="n"/>
      <c r="C11" s="242" t="n"/>
      <c r="D11" s="242" t="n"/>
      <c r="E11" s="242" t="n"/>
      <c r="F11" s="242" t="n"/>
      <c r="G11" s="242" t="n"/>
      <c r="H11" s="242" t="n"/>
      <c r="I11" s="242" t="n"/>
      <c r="J11" s="269" t="inlineStr">
        <is>
          <t>OC-01 코호트 / OC-02 기저재범률(r0) / OC-05 경과기간</t>
        </is>
      </c>
    </row>
    <row r="12" ht="24" customHeight="1" s="144">
      <c r="A12" s="242" t="n"/>
      <c r="B12" s="242" t="n"/>
      <c r="C12" s="242" t="n"/>
      <c r="D12" s="242" t="n"/>
      <c r="E12" s="242" t="n"/>
      <c r="F12" s="242" t="n"/>
      <c r="G12" s="242" t="n"/>
      <c r="H12" s="242" t="n"/>
      <c r="I12" s="242" t="n"/>
      <c r="J12" s="269" t="inlineStr">
        <is>
          <t>OC-01 코호트 / OC-02 기저재범률(r0) / OC-05 경과기간</t>
        </is>
      </c>
    </row>
    <row r="13" ht="24" customHeight="1" s="144">
      <c r="A13" s="242" t="n"/>
      <c r="B13" s="242" t="n"/>
      <c r="C13" s="242" t="n"/>
      <c r="D13" s="242" t="n"/>
      <c r="E13" s="242" t="n"/>
      <c r="F13" s="242" t="n"/>
      <c r="G13" s="242" t="n"/>
      <c r="H13" s="242" t="n"/>
      <c r="I13" s="242" t="n"/>
      <c r="J13" s="269" t="inlineStr">
        <is>
          <t>OC-01 코호트 / OC-02 기저재범률(r0) / OC-05 경과기간</t>
        </is>
      </c>
    </row>
    <row r="15" ht="15" customHeight="1" s="144">
      <c r="A15" s="241" t="inlineStr">
        <is>
          <t>산출이 어려운 항목의 이유 (한 줄이면 충분합니다)</t>
        </is>
      </c>
    </row>
    <row r="16" ht="15" customHeight="1" s="144">
      <c r="A16" s="242" t="n"/>
      <c r="B16" s="242" t="n"/>
      <c r="C16" s="242" t="n"/>
      <c r="D16" s="242" t="n"/>
      <c r="E16" s="242" t="n"/>
      <c r="F16" s="242" t="n"/>
      <c r="G16" s="242" t="n"/>
      <c r="H16" s="242" t="n"/>
      <c r="I16" s="242" t="n"/>
      <c r="J16" s="242" t="n"/>
    </row>
    <row r="17" ht="15" customHeight="1" s="144">
      <c r="A17" s="242" t="n"/>
      <c r="B17" s="242" t="n"/>
      <c r="C17" s="242" t="n"/>
      <c r="D17" s="242" t="n"/>
      <c r="E17" s="242" t="n"/>
      <c r="F17" s="242" t="n"/>
      <c r="G17" s="242" t="n"/>
      <c r="H17" s="242" t="n"/>
      <c r="I17" s="242" t="n"/>
      <c r="J17" s="242" t="n"/>
    </row>
    <row r="18" ht="15" customHeight="1" s="144">
      <c r="A18" s="242" t="n"/>
      <c r="B18" s="242" t="n"/>
      <c r="C18" s="242" t="n"/>
      <c r="D18" s="242" t="n"/>
      <c r="E18" s="242" t="n"/>
      <c r="F18" s="242" t="n"/>
      <c r="G18" s="242" t="n"/>
      <c r="H18" s="242" t="n"/>
      <c r="I18" s="242" t="n"/>
      <c r="J18" s="242" t="n"/>
    </row>
  </sheetData>
  <mergeCells count="5">
    <mergeCell ref="A1:J1"/>
    <mergeCell ref="B3:J3"/>
    <mergeCell ref="A15:J15"/>
    <mergeCell ref="B4:J4"/>
    <mergeCell ref="B2:J2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1"/>
  </sheetPr>
  <dimension ref="A1:H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20" activeCellId="0" sqref="A20"/>
    </sheetView>
  </sheetViews>
  <sheetFormatPr baseColWidth="8" defaultColWidth="8.71484375" defaultRowHeight="15" zeroHeight="0" outlineLevelRow="0"/>
  <cols>
    <col width="11" customWidth="1" style="143" min="1" max="1"/>
    <col width="16" customWidth="1" style="143" min="2" max="2"/>
    <col width="18" customWidth="1" style="143" min="3" max="3"/>
    <col width="14" customWidth="1" style="143" min="4" max="4"/>
    <col width="17" customWidth="1" style="143" min="5" max="5"/>
    <col width="13" customWidth="1" style="143" min="6" max="6"/>
    <col width="18" customWidth="1" style="143" min="7" max="7"/>
    <col width="34" customWidth="1" style="143" min="8" max="8"/>
  </cols>
  <sheetData>
    <row r="1" ht="24" customHeight="1" s="144">
      <c r="A1" s="152" t="inlineStr">
        <is>
          <t>서식 9.  재활교육 이수 여부별 재복역 교차표          ★ 13건 중 가장 중요합니다</t>
        </is>
      </c>
    </row>
    <row r="2" ht="15" customHeight="1" s="144">
      <c r="A2" s="228" t="inlineStr">
        <is>
          <t>무엇에 쓰나요</t>
        </is>
      </c>
      <c r="B2" s="229" t="inlineStr">
        <is>
          <t>재활교육이 재범을 얼마나 줄이는지 계산합니다. 이 표 하나만 있으면 효과 추정이 가능합니다.</t>
        </is>
      </c>
    </row>
    <row r="3" ht="15" customHeight="1" s="144">
      <c r="A3" s="275" t="inlineStr">
        <is>
          <t>어디서 나오나요</t>
        </is>
      </c>
      <c r="B3" s="276" t="inlineStr">
        <is>
          <t>출소자 명부와 재활교육 이수 기록을 연결한 집계. 개인 자료는 필요하지 않습니다.</t>
        </is>
      </c>
    </row>
    <row r="4" ht="30" customHeight="1" s="144">
      <c r="A4" s="277" t="inlineStr">
        <is>
          <t>꼭 봐주세요</t>
        </is>
      </c>
      <c r="B4" s="278" t="inlineStr">
        <is>
          <t>특정 칸의 인원이 5명 미만이면 인접 구간과 합쳐 주십시오. 또한 '미이수'에 중도탈락자를 포함하셨는지 비고란 옆에 표시해 주시면 감사하겠습니다. 두 집단은 성격이 달라 구분이 필요합니다.</t>
        </is>
      </c>
    </row>
    <row r="6" ht="33.75" customHeight="1" s="144">
      <c r="A6" s="154" t="inlineStr">
        <is>
          <t>출소연도</t>
        </is>
      </c>
      <c r="B6" s="154" t="inlineStr">
        <is>
          <t>과정유형</t>
        </is>
      </c>
      <c r="C6" s="154" t="inlineStr">
        <is>
          <t>구분</t>
        </is>
      </c>
      <c r="D6" s="154" t="inlineStr">
        <is>
          <t>출소인원(명)</t>
        </is>
      </c>
      <c r="E6" s="232" t="inlineStr">
        <is>
          <t>3년내 재복역(명)</t>
        </is>
      </c>
      <c r="F6" s="154" t="inlineStr">
        <is>
          <t>재복역률(%)</t>
        </is>
      </c>
      <c r="G6" s="154" t="inlineStr">
        <is>
          <t>중도탈락 포함 여부</t>
        </is>
      </c>
      <c r="H6" s="154" t="inlineStr">
        <is>
          <t>비고 (모델 KEY)</t>
        </is>
      </c>
    </row>
    <row r="7" ht="24" customHeight="1" s="144">
      <c r="A7" s="256" t="n">
        <v>2019</v>
      </c>
      <c r="B7" s="257" t="inlineStr">
        <is>
          <t>(예시) 전체</t>
        </is>
      </c>
      <c r="C7" s="258" t="inlineStr">
        <is>
          <t>이수</t>
        </is>
      </c>
      <c r="D7" s="256" t="n">
        <v>439</v>
      </c>
      <c r="E7" s="256" t="n">
        <v>178</v>
      </c>
      <c r="F7" s="256" t="n">
        <v>40.6</v>
      </c>
      <c r="G7" s="256" t="n"/>
      <c r="H7" s="159" t="inlineStr">
        <is>
          <t>OC-03 → Δr(재범감소폭) 및 r0(기저재범률) 산출</t>
        </is>
      </c>
    </row>
    <row r="8" ht="24" customHeight="1" s="144">
      <c r="A8" s="256" t="n">
        <v>2019</v>
      </c>
      <c r="B8" s="257" t="inlineStr">
        <is>
          <t>(예시) 전체</t>
        </is>
      </c>
      <c r="C8" s="258" t="inlineStr">
        <is>
          <t>미이수</t>
        </is>
      </c>
      <c r="D8" s="256" t="n">
        <v>492</v>
      </c>
      <c r="E8" s="256" t="n">
        <v>247</v>
      </c>
      <c r="F8" s="256" t="n">
        <v>50.2</v>
      </c>
      <c r="G8" s="258" t="inlineStr">
        <is>
          <t>포함</t>
        </is>
      </c>
      <c r="H8" s="159" t="inlineStr">
        <is>
          <t>OC-03 → Δr(재범감소폭) 및 r0(기저재범률) 산출</t>
        </is>
      </c>
    </row>
    <row r="9" ht="24" customHeight="1" s="144">
      <c r="A9" s="256" t="n">
        <v>2025</v>
      </c>
      <c r="B9" s="259" t="inlineStr">
        <is>
          <t>전체</t>
        </is>
      </c>
      <c r="C9" s="258" t="inlineStr">
        <is>
          <t>이수</t>
        </is>
      </c>
      <c r="D9" s="256" t="n"/>
      <c r="E9" s="256" t="n"/>
      <c r="F9" s="256" t="n"/>
      <c r="G9" s="256" t="n"/>
      <c r="H9" s="159" t="inlineStr">
        <is>
          <t>OC-03 → Δr(재범감소폭) 및 r0(기저재범률) 산출</t>
        </is>
      </c>
    </row>
    <row r="10" ht="24" customHeight="1" s="144">
      <c r="A10" s="256" t="n">
        <v>2025</v>
      </c>
      <c r="B10" s="259" t="inlineStr">
        <is>
          <t>전체</t>
        </is>
      </c>
      <c r="C10" s="258" t="inlineStr">
        <is>
          <t>미이수</t>
        </is>
      </c>
      <c r="D10" s="256" t="n"/>
      <c r="E10" s="256" t="n"/>
      <c r="F10" s="256" t="n"/>
      <c r="G10" s="256" t="n"/>
      <c r="H10" s="159" t="inlineStr">
        <is>
          <t>OC-03 → Δr(재범감소폭) 및 r0(기저재범률) 산출</t>
        </is>
      </c>
    </row>
    <row r="11" ht="24" customHeight="1" s="144">
      <c r="A11" s="256" t="n">
        <v>2025</v>
      </c>
      <c r="B11" s="259" t="inlineStr">
        <is>
          <t>전체</t>
        </is>
      </c>
      <c r="C11" s="258" t="inlineStr">
        <is>
          <t>중도탈락</t>
        </is>
      </c>
      <c r="D11" s="256" t="n"/>
      <c r="E11" s="256" t="n"/>
      <c r="F11" s="256" t="n"/>
      <c r="G11" s="256" t="n"/>
      <c r="H11" s="159" t="inlineStr">
        <is>
          <t>OC-03 → Δr(재범감소폭) 및 r0(기저재범률) 산출</t>
        </is>
      </c>
    </row>
    <row r="12" ht="24" customHeight="1" s="144">
      <c r="A12" s="242" t="n"/>
      <c r="B12" s="242" t="n"/>
      <c r="C12" s="242" t="n"/>
      <c r="D12" s="242" t="n"/>
      <c r="E12" s="242" t="n"/>
      <c r="F12" s="242" t="n"/>
      <c r="G12" s="242" t="n"/>
      <c r="H12" s="269" t="inlineStr">
        <is>
          <t>OC-03 → Δr(재범감소폭) 및 r0(기저재범률) 산출</t>
        </is>
      </c>
    </row>
    <row r="13" ht="24" customHeight="1" s="144">
      <c r="A13" s="242" t="n"/>
      <c r="B13" s="242" t="n"/>
      <c r="C13" s="242" t="n"/>
      <c r="D13" s="242" t="n"/>
      <c r="E13" s="242" t="n"/>
      <c r="F13" s="242" t="n"/>
      <c r="G13" s="242" t="n"/>
      <c r="H13" s="269" t="inlineStr">
        <is>
          <t>OC-03 → Δr(재범감소폭) 및 r0(기저재범률) 산출</t>
        </is>
      </c>
    </row>
    <row r="14" ht="24" customHeight="1" s="144">
      <c r="A14" s="242" t="n"/>
      <c r="B14" s="242" t="n"/>
      <c r="C14" s="242" t="n"/>
      <c r="D14" s="242" t="n"/>
      <c r="E14" s="242" t="n"/>
      <c r="F14" s="242" t="n"/>
      <c r="G14" s="242" t="n"/>
      <c r="H14" s="269" t="inlineStr">
        <is>
          <t>OC-03 → Δr(재범감소폭) 및 r0(기저재범률) 산출</t>
        </is>
      </c>
    </row>
    <row r="15" ht="24" customHeight="1" s="144">
      <c r="A15" s="242" t="n"/>
      <c r="B15" s="242" t="n"/>
      <c r="C15" s="242" t="n"/>
      <c r="D15" s="242" t="n"/>
      <c r="E15" s="242" t="n"/>
      <c r="F15" s="242" t="n"/>
      <c r="G15" s="242" t="n"/>
      <c r="H15" s="269" t="inlineStr">
        <is>
          <t>OC-03 → Δr(재범감소폭) 및 r0(기저재범률) 산출</t>
        </is>
      </c>
    </row>
    <row r="16" ht="24" customHeight="1" s="144">
      <c r="A16" s="242" t="n"/>
      <c r="B16" s="242" t="n"/>
      <c r="C16" s="242" t="n"/>
      <c r="D16" s="242" t="n"/>
      <c r="E16" s="242" t="n"/>
      <c r="F16" s="242" t="n"/>
      <c r="G16" s="242" t="n"/>
      <c r="H16" s="269" t="inlineStr">
        <is>
          <t>OC-03 → Δr(재범감소폭) 및 r0(기저재범률) 산출</t>
        </is>
      </c>
    </row>
    <row r="17" ht="24" customHeight="1" s="144">
      <c r="A17" s="242" t="n"/>
      <c r="B17" s="242" t="n"/>
      <c r="C17" s="242" t="n"/>
      <c r="D17" s="242" t="n"/>
      <c r="E17" s="242" t="n"/>
      <c r="F17" s="242" t="n"/>
      <c r="G17" s="242" t="n"/>
      <c r="H17" s="269" t="inlineStr">
        <is>
          <t>OC-03 → Δr(재범감소폭) 및 r0(기저재범률) 산출</t>
        </is>
      </c>
    </row>
    <row r="19" ht="15" customHeight="1" s="144">
      <c r="A19" s="241" t="inlineStr">
        <is>
          <t>산출이 어려운 항목의 이유 (한 줄이면 충분합니다)</t>
        </is>
      </c>
    </row>
    <row r="20" ht="15" customHeight="1" s="144">
      <c r="A20" s="242" t="n"/>
      <c r="B20" s="242" t="n"/>
      <c r="C20" s="242" t="n"/>
      <c r="D20" s="242" t="n"/>
      <c r="E20" s="242" t="n"/>
      <c r="F20" s="242" t="n"/>
      <c r="G20" s="242" t="n"/>
      <c r="H20" s="242" t="n"/>
    </row>
    <row r="21" ht="15" customHeight="1" s="144">
      <c r="A21" s="242" t="n"/>
      <c r="B21" s="242" t="n"/>
      <c r="C21" s="242" t="n"/>
      <c r="D21" s="242" t="n"/>
      <c r="E21" s="242" t="n"/>
      <c r="F21" s="242" t="n"/>
      <c r="G21" s="242" t="n"/>
      <c r="H21" s="242" t="n"/>
    </row>
    <row r="22" ht="15" customHeight="1" s="144">
      <c r="A22" s="242" t="n"/>
      <c r="B22" s="242" t="n"/>
      <c r="C22" s="242" t="n"/>
      <c r="D22" s="242" t="n"/>
      <c r="E22" s="242" t="n"/>
      <c r="F22" s="242" t="n"/>
      <c r="G22" s="242" t="n"/>
      <c r="H22" s="242" t="n"/>
    </row>
    <row r="23" ht="15" customHeight="1" s="144">
      <c r="A23" s="153" t="inlineStr">
        <is>
          <t>※ 출소연도별 구분이 어려우시면 여러 해를 합산한 값도 좋습니다(예: 2018~2021년 합계). 이 항목만 시간이 걸리신다면 다른 항목보다 늦게 별도로 회신해 주셔도 됩니다.</t>
        </is>
      </c>
    </row>
  </sheetData>
  <mergeCells count="5">
    <mergeCell ref="B4:H4"/>
    <mergeCell ref="B2:H2"/>
    <mergeCell ref="A19:H19"/>
    <mergeCell ref="A1:H1"/>
    <mergeCell ref="B3:H3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1"/>
  </sheetPr>
  <dimension ref="A1:I2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8" activeCellId="0" sqref="A8"/>
    </sheetView>
  </sheetViews>
  <sheetFormatPr baseColWidth="8" defaultColWidth="8.71484375" defaultRowHeight="15" zeroHeight="0" outlineLevelRow="0"/>
  <cols>
    <col width="11" customWidth="1" style="143" min="1" max="1"/>
    <col width="16" customWidth="1" style="143" min="2" max="2"/>
    <col width="13" customWidth="1" style="143" min="3" max="4"/>
    <col width="15" customWidth="1" style="143" min="5" max="5"/>
    <col width="16" customWidth="1" style="143" min="6" max="6"/>
    <col width="20" customWidth="1" style="143" min="7" max="7"/>
    <col width="18" customWidth="1" style="143" min="8" max="8"/>
    <col width="30" customWidth="1" style="143" min="9" max="9"/>
  </cols>
  <sheetData>
    <row r="1" ht="24" customHeight="1" s="144">
      <c r="A1" s="152" t="inlineStr">
        <is>
          <t>서식 10.  이수·미이수 집단의 인적 특성</t>
        </is>
      </c>
    </row>
    <row r="2" ht="15" customHeight="1" s="144">
      <c r="A2" s="228" t="inlineStr">
        <is>
          <t>무엇에 쓰나요</t>
        </is>
      </c>
      <c r="B2" s="229" t="inlineStr">
        <is>
          <t>두 집단이 원래 비슷한 사람들이었는지 확인합니다. 이수자가 처음부터 재범 위험이 낮은 사람들이었다면 교육의 효과가 실제보다 커 보이게 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서식 9와 같은 대상 집단의 인적사항 집계.</t>
        </is>
      </c>
    </row>
    <row r="4" ht="30" customHeight="1" s="144">
      <c r="A4" s="230" t="inlineStr">
        <is>
          <t>꼭 봐주세요</t>
        </is>
      </c>
      <c r="B4" s="231" t="inlineStr">
        <is>
          <t>구성비(%)나 평균값만으로 충분합니다. 개인별 자료는 필요하지 않습니다.</t>
        </is>
      </c>
    </row>
    <row r="6" ht="33.75" customHeight="1" s="144">
      <c r="A6" s="154" t="inlineStr">
        <is>
          <t>출소연도</t>
        </is>
      </c>
      <c r="B6" s="154" t="inlineStr">
        <is>
          <t>구분</t>
        </is>
      </c>
      <c r="C6" s="154" t="inlineStr">
        <is>
          <t>인원(명)</t>
        </is>
      </c>
      <c r="D6" s="154" t="inlineStr">
        <is>
          <t>평균 연령</t>
        </is>
      </c>
      <c r="E6" s="154" t="inlineStr">
        <is>
          <t>평균 형기(월)</t>
        </is>
      </c>
      <c r="F6" s="154" t="inlineStr">
        <is>
          <t>평균 전과 범수</t>
        </is>
      </c>
      <c r="G6" s="154" t="inlineStr">
        <is>
          <t>징벌 1회 이상 비율(%)</t>
        </is>
      </c>
      <c r="H6" s="232" t="inlineStr">
        <is>
          <t>30세 미만 비율(%)</t>
        </is>
      </c>
      <c r="I6" s="154" t="inlineStr">
        <is>
          <t>비고 (모델 KEY)</t>
        </is>
      </c>
    </row>
    <row r="7" ht="24" customHeight="1" s="144">
      <c r="A7" s="260" t="n">
        <v>2019</v>
      </c>
      <c r="B7" s="260" t="inlineStr">
        <is>
          <t>(예시) 이수</t>
        </is>
      </c>
      <c r="C7" s="260" t="n">
        <v>439</v>
      </c>
      <c r="D7" s="260" t="n"/>
      <c r="E7" s="260" t="n"/>
      <c r="F7" s="260" t="n"/>
      <c r="G7" s="260" t="n"/>
      <c r="H7" s="260" t="n"/>
      <c r="I7" s="265" t="inlineStr">
        <is>
          <t>OC-04 → Δr 신뢰성 진단(표준화 평균차)</t>
        </is>
      </c>
    </row>
    <row r="8" ht="24" customHeight="1" s="144">
      <c r="A8" s="256" t="n">
        <v>2025</v>
      </c>
      <c r="B8" s="258" t="inlineStr">
        <is>
          <t>이수</t>
        </is>
      </c>
      <c r="C8" s="256" t="n"/>
      <c r="D8" s="256" t="n"/>
      <c r="E8" s="256" t="n"/>
      <c r="F8" s="256" t="n"/>
      <c r="G8" s="256" t="n"/>
      <c r="H8" s="256" t="n"/>
      <c r="I8" s="159" t="inlineStr">
        <is>
          <t>OC-04 → Δr 신뢰성 진단(표준화 평균차)</t>
        </is>
      </c>
    </row>
    <row r="9" ht="24" customHeight="1" s="144">
      <c r="A9" s="256" t="n">
        <v>2025</v>
      </c>
      <c r="B9" s="258" t="inlineStr">
        <is>
          <t>미이수</t>
        </is>
      </c>
      <c r="C9" s="256" t="n"/>
      <c r="D9" s="256" t="n"/>
      <c r="E9" s="256" t="n"/>
      <c r="F9" s="256" t="n"/>
      <c r="G9" s="256" t="n"/>
      <c r="H9" s="256" t="n"/>
      <c r="I9" s="159" t="inlineStr">
        <is>
          <t>OC-04 → Δr 신뢰성 진단(표준화 평균차)</t>
        </is>
      </c>
    </row>
    <row r="10" ht="24" customHeight="1" s="144">
      <c r="A10" s="256" t="n">
        <v>2025</v>
      </c>
      <c r="B10" s="258" t="inlineStr">
        <is>
          <t>중도탈락</t>
        </is>
      </c>
      <c r="C10" s="256" t="n"/>
      <c r="D10" s="256" t="n"/>
      <c r="E10" s="256" t="n"/>
      <c r="F10" s="256" t="n"/>
      <c r="G10" s="256" t="n"/>
      <c r="H10" s="256" t="n"/>
      <c r="I10" s="159" t="inlineStr">
        <is>
          <t>OC-04 → Δr 신뢰성 진단(표준화 평균차)</t>
        </is>
      </c>
    </row>
    <row r="11" ht="24" customHeight="1" s="144">
      <c r="A11" s="242" t="n"/>
      <c r="B11" s="242" t="n"/>
      <c r="C11" s="242" t="n"/>
      <c r="D11" s="242" t="n"/>
      <c r="E11" s="242" t="n"/>
      <c r="F11" s="242" t="n"/>
      <c r="G11" s="242" t="n"/>
      <c r="H11" s="242" t="n"/>
      <c r="I11" s="269" t="inlineStr">
        <is>
          <t>OC-04 → Δr 신뢰성 진단(표준화 평균차)</t>
        </is>
      </c>
    </row>
    <row r="12" ht="24" customHeight="1" s="144">
      <c r="A12" s="242" t="n"/>
      <c r="B12" s="242" t="n"/>
      <c r="C12" s="242" t="n"/>
      <c r="D12" s="242" t="n"/>
      <c r="E12" s="242" t="n"/>
      <c r="F12" s="242" t="n"/>
      <c r="G12" s="242" t="n"/>
      <c r="H12" s="242" t="n"/>
      <c r="I12" s="269" t="inlineStr">
        <is>
          <t>OC-04 → Δr 신뢰성 진단(표준화 평균차)</t>
        </is>
      </c>
    </row>
    <row r="13" ht="24" customHeight="1" s="144">
      <c r="A13" s="242" t="n"/>
      <c r="B13" s="242" t="n"/>
      <c r="C13" s="242" t="n"/>
      <c r="D13" s="242" t="n"/>
      <c r="E13" s="242" t="n"/>
      <c r="F13" s="242" t="n"/>
      <c r="G13" s="242" t="n"/>
      <c r="H13" s="242" t="n"/>
      <c r="I13" s="269" t="inlineStr">
        <is>
          <t>OC-04 → Δr 신뢰성 진단(표준화 평균차)</t>
        </is>
      </c>
    </row>
    <row r="14" ht="24" customHeight="1" s="144">
      <c r="A14" s="242" t="n"/>
      <c r="B14" s="242" t="n"/>
      <c r="C14" s="242" t="n"/>
      <c r="D14" s="242" t="n"/>
      <c r="E14" s="242" t="n"/>
      <c r="F14" s="242" t="n"/>
      <c r="G14" s="242" t="n"/>
      <c r="H14" s="242" t="n"/>
      <c r="I14" s="269" t="inlineStr">
        <is>
          <t>OC-04 → Δr 신뢰성 진단(표준화 평균차)</t>
        </is>
      </c>
    </row>
    <row r="15" ht="24" customHeight="1" s="144">
      <c r="A15" s="242" t="n"/>
      <c r="B15" s="242" t="n"/>
      <c r="C15" s="242" t="n"/>
      <c r="D15" s="242" t="n"/>
      <c r="E15" s="242" t="n"/>
      <c r="F15" s="242" t="n"/>
      <c r="G15" s="242" t="n"/>
      <c r="H15" s="242" t="n"/>
      <c r="I15" s="269" t="inlineStr">
        <is>
          <t>OC-04 → Δr 신뢰성 진단(표준화 평균차)</t>
        </is>
      </c>
    </row>
    <row r="17" ht="15" customHeight="1" s="144">
      <c r="A17" s="241" t="inlineStr">
        <is>
          <t>산출이 어려운 항목의 사유 (한 줄이면 충분합니다)</t>
        </is>
      </c>
    </row>
    <row r="18" ht="15" customHeight="1" s="144">
      <c r="A18" s="242" t="n"/>
      <c r="B18" s="242" t="n"/>
      <c r="C18" s="242" t="n"/>
      <c r="D18" s="242" t="n"/>
      <c r="E18" s="242" t="n"/>
      <c r="F18" s="242" t="n"/>
      <c r="G18" s="242" t="n"/>
      <c r="H18" s="242" t="n"/>
      <c r="I18" s="242" t="n"/>
    </row>
    <row r="19" ht="15" customHeight="1" s="144">
      <c r="A19" s="242" t="n"/>
      <c r="B19" s="242" t="n"/>
      <c r="C19" s="242" t="n"/>
      <c r="D19" s="242" t="n"/>
      <c r="E19" s="242" t="n"/>
      <c r="F19" s="242" t="n"/>
      <c r="G19" s="242" t="n"/>
      <c r="H19" s="242" t="n"/>
      <c r="I19" s="242" t="n"/>
    </row>
    <row r="20" ht="15" customHeight="1" s="144">
      <c r="A20" s="242" t="n"/>
      <c r="B20" s="242" t="n"/>
      <c r="C20" s="242" t="n"/>
      <c r="D20" s="242" t="n"/>
      <c r="E20" s="242" t="n"/>
      <c r="F20" s="242" t="n"/>
      <c r="G20" s="242" t="n"/>
      <c r="H20" s="242" t="n"/>
      <c r="I20" s="242" t="n"/>
    </row>
    <row r="21" ht="15" customHeight="1" s="144">
      <c r="A21" s="153" t="inlineStr">
        <is>
          <t>※ 연령과 형기 두 가지만이라도 적어 주시면 기초적인 비교가 가능합니다.</t>
        </is>
      </c>
    </row>
  </sheetData>
  <mergeCells count="5">
    <mergeCell ref="B2:I2"/>
    <mergeCell ref="A1:I1"/>
    <mergeCell ref="A17:I17"/>
    <mergeCell ref="B3:I3"/>
    <mergeCell ref="B4:I4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1"/>
  </sheetPr>
  <dimension ref="A1:G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21" activeCellId="0" sqref="A21"/>
    </sheetView>
  </sheetViews>
  <sheetFormatPr baseColWidth="8" defaultColWidth="8.71484375" defaultRowHeight="15" zeroHeight="0" outlineLevelRow="0"/>
  <cols>
    <col width="7" customWidth="1" style="143" min="1" max="1"/>
    <col width="26" customWidth="1" style="143" min="2" max="2"/>
    <col width="34" customWidth="1" style="143" min="3" max="3"/>
    <col width="14" customWidth="1" style="143" min="4" max="4"/>
    <col width="28" customWidth="1" style="143" min="5" max="5"/>
    <col width="24" customWidth="1" style="143" min="6" max="7"/>
  </cols>
  <sheetData>
    <row r="1" ht="24" customHeight="1" s="144">
      <c r="A1" s="152" t="inlineStr">
        <is>
          <t>서식 11.  통계 산출기준 정의서</t>
        </is>
      </c>
    </row>
    <row r="2" ht="15" customHeight="1" s="144">
      <c r="A2" s="275" t="inlineStr">
        <is>
          <t>무엇에 쓰나요</t>
        </is>
      </c>
      <c r="B2" s="276" t="inlineStr">
        <is>
          <t>같은 '인원'이라도 정의가 다르면 1인당 금액이 달라집니다. 짧은 설명이면 충분합니다.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내부 통계 작성 지침, 담당자 설명.</t>
        </is>
      </c>
    </row>
    <row r="4" ht="30" customHeight="1" s="144">
      <c r="A4" s="230" t="inlineStr">
        <is>
          <t>꼭 봐주세요</t>
        </is>
      </c>
      <c r="B4" s="231" t="inlineStr">
        <is>
          <t>별도 서식 없이 자유롭게 적어 주시거나, 전화·전자우편으로 설명해 주셔도 됩니다.</t>
        </is>
      </c>
    </row>
    <row r="6" ht="33.75" customHeight="1" s="144">
      <c r="A6" s="154" t="inlineStr">
        <is>
          <t>번호</t>
        </is>
      </c>
      <c r="B6" s="154" t="inlineStr">
        <is>
          <t>대상 통계</t>
        </is>
      </c>
      <c r="C6" s="154" t="inlineStr">
        <is>
          <t>인원 정의 (1일평균/연인원/실인원/재적 등)</t>
        </is>
      </c>
      <c r="D6" s="154" t="inlineStr">
        <is>
          <t>기준일</t>
        </is>
      </c>
      <c r="E6" s="154" t="inlineStr">
        <is>
          <t>산출식</t>
        </is>
      </c>
      <c r="F6" s="154" t="inlineStr">
        <is>
          <t>연도별 변경 이력</t>
        </is>
      </c>
      <c r="G6" s="154" t="inlineStr">
        <is>
          <t>비고 (모델 KEY)</t>
        </is>
      </c>
    </row>
    <row r="7" ht="24" customHeight="1" s="144">
      <c r="A7" s="258" t="inlineStr">
        <is>
          <t>예시</t>
        </is>
      </c>
      <c r="B7" s="257" t="inlineStr">
        <is>
          <t>1일 평균 수용인원</t>
        </is>
      </c>
      <c r="C7" s="259" t="inlineStr">
        <is>
          <t>일별 재적인원의 연간 평균</t>
        </is>
      </c>
      <c r="D7" s="258" t="inlineStr">
        <is>
          <t>매일 24시</t>
        </is>
      </c>
      <c r="E7" s="257" t="inlineStr">
        <is>
          <t>Σ(일별 재적) ÷ 365</t>
        </is>
      </c>
      <c r="F7" s="257" t="n"/>
      <c r="G7" s="159" t="inlineStr">
        <is>
          <t>MT-04 통계 산출기준</t>
        </is>
      </c>
    </row>
    <row r="8" ht="24" customHeight="1" s="144">
      <c r="A8" s="256" t="n">
        <v>1</v>
      </c>
      <c r="B8" s="257" t="inlineStr">
        <is>
          <t>1일 평균 수용인원</t>
        </is>
      </c>
      <c r="C8" s="257" t="n"/>
      <c r="D8" s="256" t="n"/>
      <c r="E8" s="257" t="n"/>
      <c r="F8" s="257" t="n"/>
      <c r="G8" s="159" t="inlineStr">
        <is>
          <t>MT-04 통계 산출기준</t>
        </is>
      </c>
    </row>
    <row r="9" ht="24" customHeight="1" s="144">
      <c r="A9" s="256" t="n">
        <v>2</v>
      </c>
      <c r="B9" s="259" t="inlineStr">
        <is>
          <t>수용 연인원</t>
        </is>
      </c>
      <c r="C9" s="257" t="n"/>
      <c r="D9" s="256" t="n"/>
      <c r="E9" s="257" t="n"/>
      <c r="F9" s="257" t="n"/>
      <c r="G9" s="159" t="inlineStr">
        <is>
          <t>MT-04 통계 산출기준</t>
        </is>
      </c>
    </row>
    <row r="10" ht="24" customHeight="1" s="144">
      <c r="A10" s="256" t="n">
        <v>3</v>
      </c>
      <c r="B10" s="259" t="inlineStr">
        <is>
          <t>마약류사범 수용인원</t>
        </is>
      </c>
      <c r="C10" s="257" t="n"/>
      <c r="D10" s="256" t="n"/>
      <c r="E10" s="257" t="n"/>
      <c r="F10" s="257" t="n"/>
      <c r="G10" s="159" t="inlineStr">
        <is>
          <t>MT-04 통계 산출기준</t>
        </is>
      </c>
    </row>
    <row r="11" ht="24" customHeight="1" s="144">
      <c r="A11" s="256" t="n">
        <v>4</v>
      </c>
      <c r="B11" s="259" t="inlineStr">
        <is>
          <t>재활교육 이수 인원</t>
        </is>
      </c>
      <c r="C11" s="257" t="n"/>
      <c r="D11" s="256" t="n"/>
      <c r="E11" s="257" t="n"/>
      <c r="F11" s="257" t="n"/>
      <c r="G11" s="159" t="inlineStr">
        <is>
          <t>MT-04 통계 산출기준</t>
        </is>
      </c>
    </row>
    <row r="12" ht="24" customHeight="1" s="144">
      <c r="A12" s="256" t="n">
        <v>5</v>
      </c>
      <c r="B12" s="259" t="inlineStr">
        <is>
          <t>진료 실인원</t>
        </is>
      </c>
      <c r="C12" s="257" t="n"/>
      <c r="D12" s="256" t="n"/>
      <c r="E12" s="257" t="n"/>
      <c r="F12" s="257" t="n"/>
      <c r="G12" s="159" t="inlineStr">
        <is>
          <t>MT-04 통계 산출기준</t>
        </is>
      </c>
    </row>
    <row r="13" ht="24" customHeight="1" s="144">
      <c r="A13" s="256" t="n">
        <v>6</v>
      </c>
      <c r="B13" s="259" t="inlineStr">
        <is>
          <t>출소자 재복역률</t>
        </is>
      </c>
      <c r="C13" s="257" t="n"/>
      <c r="D13" s="256" t="n"/>
      <c r="E13" s="257" t="n"/>
      <c r="F13" s="257" t="n"/>
      <c r="G13" s="159" t="inlineStr">
        <is>
          <t>MT-04 통계 산출기준</t>
        </is>
      </c>
    </row>
    <row r="14" ht="24" customHeight="1" s="144">
      <c r="A14" s="242" t="n"/>
      <c r="B14" s="242" t="n"/>
      <c r="C14" s="242" t="n"/>
      <c r="D14" s="242" t="n"/>
      <c r="E14" s="242" t="n"/>
      <c r="F14" s="242" t="n"/>
      <c r="G14" s="269" t="inlineStr">
        <is>
          <t>MT-04 통계 산출기준</t>
        </is>
      </c>
    </row>
    <row r="15" ht="24" customHeight="1" s="144">
      <c r="A15" s="242" t="n"/>
      <c r="B15" s="242" t="n"/>
      <c r="C15" s="242" t="n"/>
      <c r="D15" s="242" t="n"/>
      <c r="E15" s="242" t="n"/>
      <c r="F15" s="242" t="n"/>
      <c r="G15" s="269" t="inlineStr">
        <is>
          <t>MT-04 통계 산출기준</t>
        </is>
      </c>
    </row>
    <row r="16" ht="24" customHeight="1" s="144">
      <c r="A16" s="242" t="n"/>
      <c r="B16" s="242" t="n"/>
      <c r="C16" s="242" t="n"/>
      <c r="D16" s="242" t="n"/>
      <c r="E16" s="242" t="n"/>
      <c r="F16" s="242" t="n"/>
      <c r="G16" s="269" t="inlineStr">
        <is>
          <t>MT-04 통계 산출기준</t>
        </is>
      </c>
    </row>
    <row r="17" ht="24" customHeight="1" s="144">
      <c r="A17" s="242" t="n"/>
      <c r="B17" s="242" t="n"/>
      <c r="C17" s="242" t="n"/>
      <c r="D17" s="242" t="n"/>
      <c r="E17" s="242" t="n"/>
      <c r="F17" s="242" t="n"/>
      <c r="G17" s="269" t="inlineStr">
        <is>
          <t>MT-04 통계 산출기준</t>
        </is>
      </c>
    </row>
    <row r="18" ht="24" customHeight="1" s="144">
      <c r="A18" s="242" t="n"/>
      <c r="B18" s="242" t="n"/>
      <c r="C18" s="242" t="n"/>
      <c r="D18" s="242" t="n"/>
      <c r="E18" s="242" t="n"/>
      <c r="F18" s="242" t="n"/>
      <c r="G18" s="269" t="inlineStr">
        <is>
          <t>MT-04 통계 산출기준</t>
        </is>
      </c>
    </row>
    <row r="20" ht="15" customHeight="1" s="144">
      <c r="A20" s="241" t="inlineStr">
        <is>
          <t>산출이 어려운 항목의 이유 (한 줄이면 충분합니다)</t>
        </is>
      </c>
    </row>
    <row r="21" ht="15" customHeight="1" s="144">
      <c r="A21" s="242" t="n"/>
      <c r="B21" s="242" t="n"/>
      <c r="C21" s="242" t="n"/>
      <c r="D21" s="242" t="n"/>
      <c r="E21" s="242" t="n"/>
      <c r="F21" s="242" t="n"/>
      <c r="G21" s="242" t="n"/>
    </row>
    <row r="22" ht="15" customHeight="1" s="144">
      <c r="A22" s="242" t="n"/>
      <c r="B22" s="242" t="n"/>
      <c r="C22" s="242" t="n"/>
      <c r="D22" s="242" t="n"/>
      <c r="E22" s="242" t="n"/>
      <c r="F22" s="242" t="n"/>
      <c r="G22" s="242" t="n"/>
    </row>
    <row r="23" ht="15" customHeight="1" s="144">
      <c r="A23" s="242" t="n"/>
      <c r="B23" s="242" t="n"/>
      <c r="C23" s="242" t="n"/>
      <c r="D23" s="242" t="n"/>
      <c r="E23" s="242" t="n"/>
      <c r="F23" s="242" t="n"/>
      <c r="G23" s="242" t="n"/>
    </row>
  </sheetData>
  <mergeCells count="5">
    <mergeCell ref="B3:G3"/>
    <mergeCell ref="B2:G2"/>
    <mergeCell ref="A1:G1"/>
    <mergeCell ref="A20:G20"/>
    <mergeCell ref="B4:G4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1"/>
  </sheetPr>
  <dimension ref="A1:L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21" activeCellId="0" sqref="A21"/>
    </sheetView>
  </sheetViews>
  <sheetFormatPr baseColWidth="8" defaultColWidth="8.71484375" defaultRowHeight="15" zeroHeight="0" outlineLevelRow="0"/>
  <cols>
    <col width="6" customWidth="1" style="143" min="1" max="1"/>
    <col width="34" customWidth="1" style="143" min="2" max="2"/>
    <col width="9" customWidth="1" style="143" min="3" max="3"/>
    <col width="13" customWidth="1" style="143" min="4" max="8"/>
    <col width="14" customWidth="1" style="143" min="9" max="9"/>
    <col width="30" customWidth="1" style="143" min="10" max="10"/>
  </cols>
  <sheetData>
    <row r="1" ht="24" customHeight="1" s="144">
      <c r="A1" s="152" t="inlineStr">
        <is>
          <t>별도 요청.  치료보호·보호관찰 예산 및 인원          ※ 교정본부 소관이 아닙니다</t>
        </is>
      </c>
    </row>
    <row r="2" ht="15" customHeight="1" s="144">
      <c r="A2" s="228" t="inlineStr">
        <is>
          <t>무엇에 쓰나요</t>
        </is>
      </c>
      <c r="B2" s="229" t="inlineStr">
        <is>
          <t>출소 후 사후관리 비용입니다. 해외 문헌은 사후관리 없는 교도소 내 치료의 효과가 지속되지 않는다는 데 일치하므로, 이 항목이 비면 비용은 과소·편익은 과대로 계산됩니다.</t>
        </is>
      </c>
    </row>
    <row r="3" ht="15" customHeight="1" s="144">
      <c r="A3" s="228" t="inlineStr">
        <is>
          <t>어디서 나오나요</t>
        </is>
      </c>
      <c r="B3" s="229" t="inlineStr">
        <is>
          <t>보건복지부(마약류 중독자 치료보호), 법무부 범죄예방정책국(보호관찰·치료명령), 법무부 치료처우과(국립법무병원).</t>
        </is>
      </c>
    </row>
    <row r="4" ht="30" customHeight="1" s="144">
      <c r="A4" s="230" t="inlineStr">
        <is>
          <t>꼭 봐주세요</t>
        </is>
      </c>
      <c r="B4" s="231" t="inlineStr">
        <is>
          <t>이 시트는 교정본부에 요청드리는 것이 아닙니다. 해당 기관에 별도 공문으로 요청할 항목을 정리해 둔 것입니다.</t>
        </is>
      </c>
    </row>
    <row r="6" ht="33.75" customHeight="1" s="144">
      <c r="A6" s="154" t="inlineStr">
        <is>
          <t>번호</t>
        </is>
      </c>
      <c r="B6" s="154" t="inlineStr">
        <is>
          <t>요청 항목</t>
        </is>
      </c>
      <c r="C6" s="154" t="inlineStr">
        <is>
          <t>단위</t>
        </is>
      </c>
      <c r="D6" s="232" t="inlineStr">
        <is>
          <t>2021년</t>
        </is>
      </c>
      <c r="E6" s="232" t="inlineStr">
        <is>
          <t>2022년</t>
        </is>
      </c>
      <c r="F6" s="232" t="inlineStr">
        <is>
          <t>2023년</t>
        </is>
      </c>
      <c r="G6" s="232" t="inlineStr">
        <is>
          <t>2024년</t>
        </is>
      </c>
      <c r="H6" s="232" t="inlineStr">
        <is>
          <t>2025년</t>
        </is>
      </c>
      <c r="I6" s="154" t="inlineStr">
        <is>
          <t>산출 가능 여부</t>
        </is>
      </c>
      <c r="J6" s="154" t="inlineStr">
        <is>
          <t>비고 (모델 KEY)</t>
        </is>
      </c>
    </row>
    <row r="7" ht="25.5" customHeight="1" s="144">
      <c r="A7" s="233" t="n">
        <v>1</v>
      </c>
      <c r="B7" s="234" t="inlineStr">
        <is>
          <t>마약류 중독자 치료보호 예산액 (복지부)</t>
        </is>
      </c>
      <c r="C7" s="235" t="inlineStr">
        <is>
          <t>원</t>
        </is>
      </c>
      <c r="D7" s="238" t="n"/>
      <c r="E7" s="238" t="n"/>
      <c r="F7" s="238" t="n"/>
      <c r="G7" s="238" t="n"/>
      <c r="H7" s="238" t="n"/>
      <c r="I7" s="239" t="inlineStr">
        <is>
          <t>미회신(복지부)</t>
        </is>
      </c>
      <c r="J7" s="159" t="inlineStr">
        <is>
          <t>CU-C-03  사후관리 비용풀</t>
        </is>
      </c>
    </row>
    <row r="8" ht="25.5" customHeight="1" s="144">
      <c r="A8" s="233" t="n">
        <v>2</v>
      </c>
      <c r="B8" s="234" t="inlineStr">
        <is>
          <t>마약류 중독자 치료보호 집행액 (복지부)</t>
        </is>
      </c>
      <c r="C8" s="235" t="inlineStr">
        <is>
          <t>원</t>
        </is>
      </c>
      <c r="D8" s="238" t="n"/>
      <c r="E8" s="238" t="n"/>
      <c r="F8" s="238" t="n"/>
      <c r="G8" s="238" t="n"/>
      <c r="H8" s="238" t="n"/>
      <c r="I8" s="239" t="inlineStr">
        <is>
          <t>미회신(복지부)</t>
        </is>
      </c>
      <c r="J8" s="159" t="inlineStr">
        <is>
          <t>CU-C-03  사후관리 비용풀</t>
        </is>
      </c>
    </row>
    <row r="9" ht="25.5" customHeight="1" s="144">
      <c r="A9" s="233" t="n">
        <v>3</v>
      </c>
      <c r="B9" s="234" t="inlineStr">
        <is>
          <t>치료보호 지원 인원 (복지부)</t>
        </is>
      </c>
      <c r="C9" s="235" t="inlineStr">
        <is>
          <t>명</t>
        </is>
      </c>
      <c r="D9" s="238" t="n"/>
      <c r="E9" s="238" t="n"/>
      <c r="F9" s="238" t="n"/>
      <c r="G9" s="238" t="n"/>
      <c r="H9" s="238" t="n"/>
      <c r="I9" s="239" t="inlineStr">
        <is>
          <t>미회신(복지부)</t>
        </is>
      </c>
      <c r="J9" s="159" t="inlineStr">
        <is>
          <t>CU-C-03  사후관리 분모</t>
        </is>
      </c>
    </row>
    <row r="10" ht="25.5" customHeight="1" s="144">
      <c r="A10" s="233" t="n">
        <v>4</v>
      </c>
      <c r="B10" s="234" t="inlineStr">
        <is>
          <t>치료보호 지정기관 수 / 병상 수 (복지부)</t>
        </is>
      </c>
      <c r="C10" s="235" t="inlineStr">
        <is>
          <t>개소/병상</t>
        </is>
      </c>
      <c r="D10" s="238" t="n"/>
      <c r="E10" s="238" t="n"/>
      <c r="F10" s="238" t="n"/>
      <c r="G10" s="238" t="n"/>
      <c r="H10" s="238" t="n"/>
      <c r="I10" s="239" t="inlineStr">
        <is>
          <t>미회신(복지부)</t>
        </is>
      </c>
      <c r="J10" s="159" t="inlineStr">
        <is>
          <t>CU-C-03  참고</t>
        </is>
      </c>
    </row>
    <row r="11" ht="25.5" customHeight="1" s="144">
      <c r="A11" s="233" t="n">
        <v>5</v>
      </c>
      <c r="B11" s="234" t="inlineStr">
        <is>
          <t>보호관찰 대상 마약류사범 인원 (범죄예방정책국)</t>
        </is>
      </c>
      <c r="C11" s="235" t="inlineStr">
        <is>
          <t>명</t>
        </is>
      </c>
      <c r="D11" s="236" t="n">
        <v>3675</v>
      </c>
      <c r="E11" s="236" t="n">
        <v>3762</v>
      </c>
      <c r="F11" s="236" t="n">
        <v>4178</v>
      </c>
      <c r="G11" s="236" t="n">
        <v>5078</v>
      </c>
      <c r="H11" s="236" t="n">
        <v>5391</v>
      </c>
      <c r="I11" s="237" t="inlineStr">
        <is>
          <t>회신(범죄예방정책국)</t>
        </is>
      </c>
      <c r="J11" s="159" t="inlineStr">
        <is>
          <t>CU-N-02  사회내처우 분모</t>
        </is>
      </c>
    </row>
    <row r="12" ht="25.5" customHeight="1" s="144">
      <c r="A12" s="233" t="n">
        <v>6</v>
      </c>
      <c r="B12" s="234" t="inlineStr">
        <is>
          <t>치료명령·치료조건부 가석방 인원 (범죄예방정책국)</t>
        </is>
      </c>
      <c r="C12" s="235" t="inlineStr">
        <is>
          <t>명</t>
        </is>
      </c>
      <c r="D12" s="236" t="n">
        <v>234</v>
      </c>
      <c r="E12" s="236" t="n">
        <v>194</v>
      </c>
      <c r="F12" s="236" t="n">
        <v>219</v>
      </c>
      <c r="G12" s="236" t="n">
        <v>247</v>
      </c>
      <c r="H12" s="236" t="n">
        <v>332</v>
      </c>
      <c r="I12" s="237" t="inlineStr">
        <is>
          <t>회신(범죄예방정책국)</t>
        </is>
      </c>
      <c r="J12" s="159" t="inlineStr">
        <is>
          <t>CU-N-02  사회내처우 분모</t>
        </is>
      </c>
    </row>
    <row r="13" ht="25.5" customHeight="1" s="144">
      <c r="A13" s="233" t="n">
        <v>7</v>
      </c>
      <c r="B13" s="234" t="inlineStr">
        <is>
          <t>보호관찰 약물사범 관련 예산 (범죄예방정책국)</t>
        </is>
      </c>
      <c r="C13" s="235" t="inlineStr">
        <is>
          <t>원</t>
        </is>
      </c>
      <c r="D13" s="238" t="n"/>
      <c r="E13" s="238" t="n"/>
      <c r="F13" s="238" t="n"/>
      <c r="G13" s="238" t="n"/>
      <c r="H13" s="238" t="n"/>
      <c r="I13" s="239" t="inlineStr">
        <is>
          <t>산출 불가(범죄예방정책국)</t>
        </is>
      </c>
      <c r="J13" s="159" t="inlineStr">
        <is>
          <t>CU-C-02  사회내처우 비용풀</t>
        </is>
      </c>
    </row>
    <row r="14" ht="25.5" customHeight="1" s="144">
      <c r="A14" s="233" t="n">
        <v>8</v>
      </c>
      <c r="B14" s="234" t="inlineStr">
        <is>
          <t>국립법무병원 운영 결산액 (치료처우과)</t>
        </is>
      </c>
      <c r="C14" s="235" t="inlineStr">
        <is>
          <t>원</t>
        </is>
      </c>
      <c r="D14" s="236" t="n">
        <v>8508000000</v>
      </c>
      <c r="E14" s="236" t="n">
        <v>9770000000</v>
      </c>
      <c r="F14" s="236" t="n">
        <v>11521000000</v>
      </c>
      <c r="G14" s="236" t="n">
        <v>12146000000</v>
      </c>
      <c r="H14" s="236" t="n">
        <v>12357000000</v>
      </c>
      <c r="I14" s="237" t="inlineStr">
        <is>
          <t>회신(치료처우과): 병원 전체 결산</t>
        </is>
      </c>
      <c r="J14" s="159" t="inlineStr">
        <is>
          <t>CU-C-01  치료감호 비용풀</t>
        </is>
      </c>
    </row>
    <row r="15" ht="25.5" customHeight="1" s="144">
      <c r="A15" s="233" t="n">
        <v>9</v>
      </c>
      <c r="B15" s="234" t="inlineStr">
        <is>
          <t>국립법무병원 약물중독(2호) 연평균 수용인원</t>
        </is>
      </c>
      <c r="C15" s="235" t="inlineStr">
        <is>
          <t>명</t>
        </is>
      </c>
      <c r="D15" s="236" t="n">
        <v>31</v>
      </c>
      <c r="E15" s="236" t="n">
        <v>31</v>
      </c>
      <c r="F15" s="236" t="n">
        <v>30</v>
      </c>
      <c r="G15" s="236" t="n">
        <v>31</v>
      </c>
      <c r="H15" s="236" t="n">
        <v>24</v>
      </c>
      <c r="I15" s="237" t="inlineStr">
        <is>
          <t>회신(치료처우과)</t>
        </is>
      </c>
      <c r="J15" s="159" t="inlineStr">
        <is>
          <t>CU-N-01  치료감호 분모</t>
        </is>
      </c>
    </row>
    <row r="17" ht="15" customHeight="1" s="144">
      <c r="A17" s="279" t="inlineStr">
        <is>
          <t>※ 이 표의 1~3행이 채워져야 사후관리 1인당 원가(UC-12)를 산출할 수 있고, 그래야 증분비용 ΔC 의 세 번째 항이 완성됩니다.</t>
        </is>
      </c>
    </row>
    <row r="20" ht="15" customHeight="1" s="144">
      <c r="A20" s="241" t="inlineStr">
        <is>
          <t>산출이 어려운 항목의 이유 (한 줄이면 충분합니다)</t>
        </is>
      </c>
    </row>
    <row r="21" ht="15" customHeight="1" s="144">
      <c r="A21" s="242" t="n"/>
      <c r="B21" s="237" t="inlineStr">
        <is>
          <t>범죄예방정책국: 마약 키트 구입 구입 등 특정 사업비 예산이 편성되어 있으나, 그 외 에 보호관찰 분야 인건비 및 사업비 등 대부분의 예산이 별도 편성되어 있지 않아 산출에 어려움이 있습니다.</t>
        </is>
      </c>
      <c r="C21" s="242" t="n"/>
      <c r="D21" s="242" t="n"/>
      <c r="E21" s="242" t="n"/>
      <c r="F21" s="242" t="n"/>
      <c r="G21" s="242" t="n"/>
      <c r="H21" s="242" t="n"/>
      <c r="I21" s="242" t="n"/>
      <c r="J21" s="242" t="n"/>
    </row>
    <row r="22" ht="15" customHeight="1" s="144">
      <c r="A22" s="242" t="n"/>
      <c r="B22" s="237" t="inlineStr">
        <is>
          <t>복지부 미회신. 치료보호 인원은 2025 마약류 범죄백서 표 3-82로 대체 가능(2021~2025: 280, 421, 641, 875, 1,649명). 예산은 대체 자료 없음.</t>
        </is>
      </c>
      <c r="C22" s="242" t="n"/>
      <c r="D22" s="242" t="n"/>
      <c r="E22" s="242" t="n"/>
      <c r="F22" s="242" t="n"/>
      <c r="G22" s="242" t="n"/>
      <c r="H22" s="242" t="n"/>
      <c r="I22" s="242" t="n"/>
      <c r="J22" s="242" t="n"/>
    </row>
    <row r="23" ht="15" customHeight="1" s="144">
      <c r="A23" s="242" t="n"/>
      <c r="B23" s="242" t="n"/>
      <c r="C23" s="242" t="n"/>
      <c r="D23" s="242" t="n"/>
      <c r="E23" s="242" t="n"/>
      <c r="F23" s="242" t="n"/>
      <c r="G23" s="242" t="n"/>
      <c r="H23" s="242" t="n"/>
      <c r="I23" s="242" t="n"/>
      <c r="J23" s="242" t="n"/>
    </row>
  </sheetData>
  <mergeCells count="5">
    <mergeCell ref="B4:L4"/>
    <mergeCell ref="A1:L1"/>
    <mergeCell ref="B3:L3"/>
    <mergeCell ref="B2:L2"/>
    <mergeCell ref="A20:J20"/>
  </mergeCells>
  <dataValidations count="1">
    <dataValidation sqref="I7:I15" showDropDown="0" showInputMessage="0" showErrorMessage="0" allowBlank="1" type="list" errorStyle="stop" operator="between">
      <formula1>"작성 전,작성 중,작성 완료,산출 불가"</formula1>
      <formula2>0</formula2>
    </dataValidation>
  </dataValidation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1"/>
  </sheetPr>
  <dimension ref="A1:F23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A1" activeCellId="0" sqref="A1"/>
    </sheetView>
  </sheetViews>
  <sheetFormatPr baseColWidth="8" defaultColWidth="8.71484375" defaultRowHeight="15" zeroHeight="0" outlineLevelRow="0"/>
  <cols>
    <col width="14" customWidth="1" style="143" min="1" max="1"/>
    <col width="22" customWidth="1" style="143" min="2" max="2"/>
    <col width="44" customWidth="1" style="143" min="3" max="3"/>
    <col width="22" customWidth="1" style="143" min="4" max="4"/>
    <col width="30" customWidth="1" style="143" min="5" max="5"/>
    <col width="20" customWidth="1" style="143" min="6" max="6"/>
  </cols>
  <sheetData>
    <row r="1" ht="24" customHeight="1" s="144">
      <c r="A1" s="152" t="inlineStr">
        <is>
          <t>비고란 KEY 값 설명 (연구진용)</t>
        </is>
      </c>
    </row>
    <row r="2" ht="15" customHeight="1" s="144">
      <c r="A2" s="153" t="inlineStr">
        <is>
          <t>각 서식 맨 오른쪽 비고란의 값이 무엇을 뜻하는지 정리한 것입니다. 담당자께서 작성하실 내용은 없습니다.</t>
        </is>
      </c>
    </row>
    <row r="4" ht="33.75" customHeight="1" s="144">
      <c r="A4" s="232" t="inlineStr">
        <is>
          <t>KEY 앞자리</t>
        </is>
      </c>
      <c r="B4" s="154" t="inlineStr">
        <is>
          <t>뜻</t>
        </is>
      </c>
      <c r="C4" s="154" t="inlineStr">
        <is>
          <t>설명</t>
        </is>
      </c>
      <c r="D4" s="154" t="inlineStr">
        <is>
          <t>예</t>
        </is>
      </c>
      <c r="E4" s="154" t="inlineStr">
        <is>
          <t>쓰이는 곳</t>
        </is>
      </c>
      <c r="F4" s="154" t="inlineStr">
        <is>
          <t>관련 서식</t>
        </is>
      </c>
    </row>
    <row r="5" ht="30" customHeight="1" s="144">
      <c r="A5" s="280" t="inlineStr">
        <is>
          <t>IN-C</t>
        </is>
      </c>
      <c r="B5" s="156" t="inlineStr">
        <is>
          <t>투옥 비용풀</t>
        </is>
      </c>
      <c r="C5" s="156" t="inlineStr">
        <is>
          <t>수용 그 자체에 드는 비용의 총액(분자)</t>
        </is>
      </c>
      <c r="D5" s="281" t="inlineStr">
        <is>
          <t>IN-C-02 급식비</t>
        </is>
      </c>
      <c r="E5" s="281" t="inlineStr">
        <is>
          <t>UC-01 총원가 / UC-02 변동원가</t>
        </is>
      </c>
      <c r="F5" s="156" t="inlineStr">
        <is>
          <t>서식 1</t>
        </is>
      </c>
    </row>
    <row r="6" ht="30" customHeight="1" s="144">
      <c r="A6" s="280" t="inlineStr">
        <is>
          <t>IN-N</t>
        </is>
      </c>
      <c r="B6" s="156" t="inlineStr">
        <is>
          <t>투옥 분모</t>
        </is>
      </c>
      <c r="C6" s="156" t="inlineStr">
        <is>
          <t>위 비용을 나눌 인원·기간</t>
        </is>
      </c>
      <c r="D6" s="281" t="inlineStr">
        <is>
          <t>IN-N-01 1일 평균 수용인원</t>
        </is>
      </c>
      <c r="E6" s="281" t="inlineStr">
        <is>
          <t>UC-01·02·03 의 분모</t>
        </is>
      </c>
      <c r="F6" s="156" t="inlineStr">
        <is>
          <t>서식 2·3</t>
        </is>
      </c>
    </row>
    <row r="7" ht="30" customHeight="1" s="144">
      <c r="A7" s="280" t="inlineStr">
        <is>
          <t>PG-C</t>
        </is>
      </c>
      <c r="B7" s="156" t="inlineStr">
        <is>
          <t>투입 비용풀</t>
        </is>
      </c>
      <c r="C7" s="156" t="inlineStr">
        <is>
          <t>재활 프로그램에 드는 비용의 총액</t>
        </is>
      </c>
      <c r="D7" s="281" t="inlineStr">
        <is>
          <t>PG-C-04 전담인력 인건비</t>
        </is>
      </c>
      <c r="E7" s="281" t="inlineStr">
        <is>
          <t>UC-06·07 의 분자</t>
        </is>
      </c>
      <c r="F7" s="156" t="inlineStr">
        <is>
          <t>서식 1·5·6</t>
        </is>
      </c>
    </row>
    <row r="8" ht="30" customHeight="1" s="144">
      <c r="A8" s="280" t="inlineStr">
        <is>
          <t>PG-N</t>
        </is>
      </c>
      <c r="B8" s="156" t="inlineStr">
        <is>
          <t>투입 분모</t>
        </is>
      </c>
      <c r="C8" s="156" t="inlineStr">
        <is>
          <t>프로그램 참여 인원</t>
        </is>
      </c>
      <c r="D8" s="281" t="inlineStr">
        <is>
          <t>PG-N-02 과정유형별 이수 인원</t>
        </is>
      </c>
      <c r="E8" s="281" t="inlineStr">
        <is>
          <t>UC-06 의 분모</t>
        </is>
      </c>
      <c r="F8" s="156" t="inlineStr">
        <is>
          <t>서식 4</t>
        </is>
      </c>
    </row>
    <row r="9" ht="30" customHeight="1" s="144">
      <c r="A9" s="280" t="inlineStr">
        <is>
          <t>PG-D</t>
        </is>
      </c>
      <c r="B9" s="156" t="inlineStr">
        <is>
          <t>투입 배부기준</t>
        </is>
      </c>
      <c r="C9" s="156" t="inlineStr">
        <is>
          <t>인건비를 과정별로 나눌 기준(인시·투입비율)</t>
        </is>
      </c>
      <c r="D9" s="281" t="inlineStr">
        <is>
          <t>PG-D-01 총 인시</t>
        </is>
      </c>
      <c r="E9" s="281" t="inlineStr">
        <is>
          <t>UC-07 의 분모</t>
        </is>
      </c>
      <c r="F9" s="156" t="inlineStr">
        <is>
          <t>서식 4·5</t>
        </is>
      </c>
    </row>
    <row r="10" ht="30" customHeight="1" s="144">
      <c r="A10" s="280" t="inlineStr">
        <is>
          <t>TX-C</t>
        </is>
      </c>
      <c r="B10" s="156" t="inlineStr">
        <is>
          <t>치료 비용풀</t>
        </is>
      </c>
      <c r="C10" s="156" t="inlineStr">
        <is>
          <t>의료·약물치료 개입 비용의 총액</t>
        </is>
      </c>
      <c r="D10" s="281" t="inlineStr">
        <is>
          <t>TX-C-03 자체 진료비</t>
        </is>
      </c>
      <c r="E10" s="281" t="inlineStr">
        <is>
          <t>UC-09·10 의 분자</t>
        </is>
      </c>
      <c r="F10" s="156" t="inlineStr">
        <is>
          <t>서식 7</t>
        </is>
      </c>
    </row>
    <row r="11" ht="30" customHeight="1" s="144">
      <c r="A11" s="280" t="inlineStr">
        <is>
          <t>TX-N</t>
        </is>
      </c>
      <c r="B11" s="156" t="inlineStr">
        <is>
          <t>치료 분모</t>
        </is>
      </c>
      <c r="C11" s="156" t="inlineStr">
        <is>
          <t>치료개입 대상 인원·건수</t>
        </is>
      </c>
      <c r="D11" s="281" t="inlineStr">
        <is>
          <t>TX-N-03 치료개입 대상 인원</t>
        </is>
      </c>
      <c r="E11" s="281" t="inlineStr">
        <is>
          <t>UC-10 의 분모</t>
        </is>
      </c>
      <c r="F11" s="156" t="inlineStr">
        <is>
          <t>서식 7</t>
        </is>
      </c>
    </row>
    <row r="12" ht="30" customHeight="1" s="144">
      <c r="A12" s="280" t="inlineStr">
        <is>
          <t>CU-C</t>
        </is>
      </c>
      <c r="B12" s="156" t="inlineStr">
        <is>
          <t>감호·사후관리 비용풀</t>
        </is>
      </c>
      <c r="C12" s="156" t="inlineStr">
        <is>
          <t>치료감호와 출소 후 사후관리 비용</t>
        </is>
      </c>
      <c r="D12" s="281" t="inlineStr">
        <is>
          <t>CU-C-03 치료보호 예산</t>
        </is>
      </c>
      <c r="E12" s="281" t="inlineStr">
        <is>
          <t>UC-12 의 분자</t>
        </is>
      </c>
      <c r="F12" s="156" t="inlineStr">
        <is>
          <t>별도요청</t>
        </is>
      </c>
    </row>
    <row r="13" ht="30" customHeight="1" s="144">
      <c r="A13" s="280" t="inlineStr">
        <is>
          <t>CU-N</t>
        </is>
      </c>
      <c r="B13" s="156" t="inlineStr">
        <is>
          <t>감호·사후관리 분모</t>
        </is>
      </c>
      <c r="C13" s="156" t="inlineStr">
        <is>
          <t>치료감호·보호관찰 대상 인원</t>
        </is>
      </c>
      <c r="D13" s="281" t="inlineStr">
        <is>
          <t>CU-N-01 국립법무병원 인원</t>
        </is>
      </c>
      <c r="E13" s="281" t="inlineStr">
        <is>
          <t>UC-11·12 의 분모</t>
        </is>
      </c>
      <c r="F13" s="156" t="inlineStr">
        <is>
          <t>별도요청</t>
        </is>
      </c>
    </row>
    <row r="14" ht="30" customHeight="1" s="144">
      <c r="A14" s="280" t="inlineStr">
        <is>
          <t>OC</t>
        </is>
      </c>
      <c r="B14" s="156" t="inlineStr">
        <is>
          <t>성과</t>
        </is>
      </c>
      <c r="C14" s="156" t="inlineStr">
        <is>
          <t>재범·출소 관련 성과 지표</t>
        </is>
      </c>
      <c r="D14" s="281" t="inlineStr">
        <is>
          <t>OC-03 이수별 재복역 교차표</t>
        </is>
      </c>
      <c r="E14" s="281" t="inlineStr">
        <is>
          <t>Δr(재범감소폭) · r0(기저재범률)</t>
        </is>
      </c>
      <c r="F14" s="156" t="inlineStr">
        <is>
          <t>서식 8·9·10</t>
        </is>
      </c>
    </row>
    <row r="15" ht="30" customHeight="1" s="144">
      <c r="A15" s="280" t="inlineStr">
        <is>
          <t>MT</t>
        </is>
      </c>
      <c r="B15" s="156" t="inlineStr">
        <is>
          <t>정합성</t>
        </is>
      </c>
      <c r="C15" s="156" t="inlineStr">
        <is>
          <t>원단위를 검증하기 위한 기준 자료</t>
        </is>
      </c>
      <c r="D15" s="281" t="inlineStr">
        <is>
          <t>MT-04 통계 산출기준</t>
        </is>
      </c>
      <c r="E15" s="156" t="inlineStr">
        <is>
          <t>전 원단위의 분모 정합성 검증</t>
        </is>
      </c>
      <c r="F15" s="156" t="inlineStr">
        <is>
          <t>서식 11·12</t>
        </is>
      </c>
    </row>
    <row r="18" ht="16.5" customHeight="1" s="144">
      <c r="A18" s="282" t="inlineStr">
        <is>
          <t>최종 산식</t>
        </is>
      </c>
    </row>
    <row r="19" ht="21.75" customHeight="1" s="144">
      <c r="A19" s="146" t="inlineStr">
        <is>
          <t>1인당 증분비용  ΔC  =  UC-06(프로그램)  +  UC-10(치료개입)  +  UC-12(사후관리)  +  ΔM × UC-02(수용기간 차이)</t>
        </is>
      </c>
    </row>
    <row r="20" ht="21.75" customHeight="1" s="144">
      <c r="A20" s="146" t="inlineStr">
        <is>
          <t>1인당 편익      B   =  r0(기저재범률)  ×  Δr(재범감소폭)  ×  SC(재범 1건당 사회적 비용)</t>
        </is>
      </c>
    </row>
    <row r="21" ht="21.75" customHeight="1" s="144">
      <c r="A21" s="151" t="inlineStr">
        <is>
          <t>판정지표          B/C  =  B ÷ ΔC        (사회적 할인율 4.5%, 분석기간 5년)</t>
        </is>
      </c>
    </row>
    <row r="23" ht="15" customHeight="1" s="144">
      <c r="A23" s="168" t="inlineStr">
        <is>
          <t>※ UC-01(수용 총원가)은 재활교육을 받은 사람과 받지 않은 사람 모두에게 똑같이 발생하므로 증분비용 ΔC 에는 넣지 않습니다. 수용기간에 차이가 있을 때만 한계원가 UC-02 로 환산해 반영합니다.</t>
        </is>
      </c>
    </row>
  </sheetData>
  <mergeCells count="6">
    <mergeCell ref="A2:F2"/>
    <mergeCell ref="A19:F19"/>
    <mergeCell ref="A1:F1"/>
    <mergeCell ref="A23:F23"/>
    <mergeCell ref="A20:F20"/>
    <mergeCell ref="A21:F21"/>
  </mergeCells>
  <printOptions horizontalCentered="1" verticalCentered="0" headings="0" gridLines="0" gridLinesSet="1"/>
  <pageMargins left="0.3" right="0.3" top="0.4" bottom="0.4" header="0.511811023622047" footer="0.2"/>
  <pageSetup orientation="landscape" paperSize="9" scale="100" fitToHeight="0" fitToWidth="1" pageOrder="downThenOver" blackAndWhite="0" draft="0" horizontalDpi="300" verticalDpi="300" copies="1"/>
  <headerFooter differentOddEven="0" differentFirst="0">
    <oddHeader/>
    <oddFooter>&amp;C&amp;8 &amp;A  -  &amp;P / &amp;N</oddFooter>
    <evenHeader/>
    <evenFooter/>
    <firstHeader/>
    <firstFooter/>
  </headerFooter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style="144" min="1" max="1"/>
    <col width="120" customWidth="1" style="144" min="2" max="2"/>
  </cols>
  <sheetData>
    <row r="1">
      <c r="A1" s="283" t="inlineStr">
        <is>
          <t>구조-v1 · 마약류 사회적 비용 모델의 칸·변수 구조</t>
        </is>
      </c>
    </row>
    <row r="2">
      <c r="A2" s="284" t="inlineStr">
        <is>
          <t>작성 2026-10-21. 산식은 넣지 않고, 칸과 입력 변수의 자리만 고정한 판이다. 산식은 팀 결정과 공개통계 수집 뒤에 「원단위계산」처럼 별도 시트로 붙인다.</t>
        </is>
      </c>
    </row>
    <row r="3">
      <c r="A3" s="285" t="inlineStr"/>
      <c r="B3" s="285" t="n"/>
    </row>
    <row r="4">
      <c r="A4" s="286" t="inlineStr">
        <is>
          <t>시트</t>
        </is>
      </c>
      <c r="B4" s="286" t="inlineStr">
        <is>
          <t>하는 일</t>
        </is>
      </c>
    </row>
    <row r="5">
      <c r="A5" s="285" t="inlineStr">
        <is>
          <t>구조_칸</t>
        </is>
      </c>
      <c r="B5" s="285" t="inlineStr">
        <is>
          <t>구현 모델 39칸. 칸마다 비용 종류, 계산 단위, 적용 인원, λ 적용 여부, 연간 총액·생애 누적·SCᵣ 포함 여부, 합산되는 곳을 고정한다. 변수 수와 미입력 수는 「구조_변수」에서 자동으로 센다.</t>
        </is>
      </c>
    </row>
    <row r="6">
      <c r="A6" s="285" t="inlineStr">
        <is>
          <t>구조_변수</t>
        </is>
      </c>
      <c r="B6" s="285" t="inlineStr">
        <is>
          <t>칸마다 필요한 입력 변수의 자리. 값 칸(노란색)에 숫자를 넣으면 상태가 자동으로 바뀐다.</t>
        </is>
      </c>
    </row>
    <row r="7">
      <c r="A7" s="285" t="inlineStr">
        <is>
          <t>구조_스위치</t>
        </is>
      </c>
      <c r="B7" s="285" t="inlineStr">
        <is>
          <t>구조에 걸린 미결정 사항 6가지. 칸은 만들어 두고 선택값만 바꾼다. 「구조_칸」의 일부 열이 이 값을 따라간다.</t>
        </is>
      </c>
    </row>
    <row r="8">
      <c r="A8" s="285" t="inlineStr">
        <is>
          <t>구조_중복규칙</t>
        </is>
      </c>
      <c r="B8" s="285" t="inlineStr">
        <is>
          <t>한쪽에만 넣어야 하는 6쌍(작성표준 명세 공통 원칙 5).</t>
        </is>
      </c>
    </row>
    <row r="9">
      <c r="A9" s="285" t="inlineStr">
        <is>
          <t>구조_집계</t>
        </is>
      </c>
      <c r="B9" s="285" t="inlineStr">
        <is>
          <t>절별·상태별 변수 개수. 지금 무엇이 입력되었고 무엇이 남았는지 한눈에 본다.</t>
        </is>
      </c>
    </row>
    <row r="10">
      <c r="A10" s="285" t="inlineStr"/>
      <c r="B10" s="285" t="n"/>
    </row>
    <row r="11">
      <c r="A11" s="286" t="inlineStr">
        <is>
          <t>칸 색</t>
        </is>
      </c>
      <c r="B11" s="286" t="inlineStr">
        <is>
          <t>뜻</t>
        </is>
      </c>
    </row>
    <row r="12">
      <c r="A12" s="287" t="inlineStr">
        <is>
          <t>노란 칸</t>
        </is>
      </c>
      <c r="B12" s="285" t="inlineStr">
        <is>
          <t>입력하는 칸: 「구조_변수」의 출처 종류·기준연도·값·메모, 「구조_스위치」의 현재 선택</t>
        </is>
      </c>
    </row>
    <row r="13">
      <c r="A13" s="288" t="inlineStr">
        <is>
          <t>회색 칸</t>
        </is>
      </c>
      <c r="B13" s="285" t="inlineStr">
        <is>
          <t>잠긴 구조: 칸 ID, 이름, 성격, 변수 ID, 변수 이름, 단위, 출처 상세. 바꾸려면 판을 올린다(아래)</t>
        </is>
      </c>
    </row>
    <row r="14">
      <c r="A14" s="289" t="inlineStr">
        <is>
          <t>파란 글씨</t>
        </is>
      </c>
      <c r="B14" s="285" t="inlineStr">
        <is>
          <t>입력 칸의 글자(저장소 잠금 점검이 파란 글씨 칸을 입력 칸으로 인식한다)</t>
        </is>
      </c>
    </row>
    <row r="15">
      <c r="A15" s="290" t="inlineStr">
        <is>
          <t>초록 글씨</t>
        </is>
      </c>
      <c r="B15" s="285" t="inlineStr">
        <is>
          <t>다른 시트에서 가져온 값(스위치 반영 등)</t>
        </is>
      </c>
    </row>
    <row r="16">
      <c r="A16" s="291" t="inlineStr">
        <is>
          <t>검정 글씨</t>
        </is>
      </c>
      <c r="B16" s="285" t="inlineStr">
        <is>
          <t>계산식(상태, 개수)</t>
        </is>
      </c>
    </row>
    <row r="17">
      <c r="A17" s="285" t="inlineStr"/>
      <c r="B17" s="285" t="n"/>
    </row>
    <row r="18">
      <c r="A18" s="286" t="inlineStr">
        <is>
          <t>상태 값</t>
        </is>
      </c>
      <c r="B18" s="286" t="inlineStr">
        <is>
          <t>정하는 규칙 (구조_변수 J열 자동)</t>
        </is>
      </c>
    </row>
    <row r="19">
      <c r="A19" s="285" t="inlineStr">
        <is>
          <t>입력됨</t>
        </is>
      </c>
      <c r="B19" s="285" t="inlineStr">
        <is>
          <t>값이 있고 출처가 서식 회신·별도요청·백서·대검 정보공개</t>
        </is>
      </c>
    </row>
    <row r="20">
      <c r="A20" s="285" t="inlineStr">
        <is>
          <t>대체 입력</t>
        </is>
      </c>
      <c r="B20" s="285" t="inlineStr">
        <is>
          <t>값이 있고 출처가 문헌·공개통계·예산서 (요청 자료 대신 넣은 값)</t>
        </is>
      </c>
    </row>
    <row r="21">
      <c r="A21" s="285" t="inlineStr">
        <is>
          <t>가정</t>
        </is>
      </c>
      <c r="B21" s="285" t="inlineStr">
        <is>
          <t>값이 있고 출처가 가정</t>
        </is>
      </c>
    </row>
    <row r="22">
      <c r="A22" s="285" t="inlineStr">
        <is>
          <t>연결</t>
        </is>
      </c>
      <c r="B22" s="285" t="inlineStr">
        <is>
          <t>값을 다른 변수나 계산 결과에서 받음(값 칸 비움)</t>
        </is>
      </c>
    </row>
    <row r="23">
      <c r="A23" s="285" t="inlineStr">
        <is>
          <t>미입력</t>
        </is>
      </c>
      <c r="B23" s="285" t="inlineStr">
        <is>
          <t>값 칸이 비어 있음</t>
        </is>
      </c>
    </row>
    <row r="24">
      <c r="A24" s="285" t="inlineStr"/>
      <c r="B24" s="285" t="n"/>
    </row>
    <row r="25">
      <c r="A25" s="291" t="inlineStr">
        <is>
          <t>새 자료를 받으면</t>
        </is>
      </c>
      <c r="B25" s="285" t="inlineStr">
        <is>
          <t>① 「구조_변수」에서 해당 변수 행을 찾는다(출처 상세 열에 서식 번호가 있다) ② 값·기준연도를 넣고 출처 종류가 바뀌었으면 고친다(예: 문헌 → 서식 회신) ③ 메모에 받은 파일과 날짜를 적는다. 상태와 「구조_칸」·「구조_집계」 숫자는 저절로 바뀐다.</t>
        </is>
      </c>
    </row>
    <row r="26">
      <c r="A26" s="291" t="inlineStr">
        <is>
          <t>구조를 바꿔야 하면</t>
        </is>
      </c>
      <c r="B26" s="285" t="inlineStr">
        <is>
          <t>칸 추가·이동·삭제, 변수 추가는 판을 올려서 한다. 이 저장소에서는 tools/structure/build_structure.py를 고쳐 다시 만든 뒤 python pipeline/relock.py --version 구조-v2 --reason "이유" 로 잠금을 갱신하고 locked/CHANGELOG.md에 남긴다.</t>
        </is>
      </c>
    </row>
    <row r="27">
      <c r="A27" s="291" t="inlineStr">
        <is>
          <t>예시 행</t>
        </is>
      </c>
      <c r="B27" s="285" t="inlineStr">
        <is>
          <t>구조_변수 3-3a-2: 교도소 일반회계 세출 결산 · 원 · 직접 · 서식 회신 · 「자료요청 2차」 hwpx(복지과) · 2025 · 1,699,217,000,000 → 상태 "입력됨"</t>
        </is>
      </c>
    </row>
  </sheetData>
  <mergeCells count="1">
    <mergeCell ref="A2:B2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49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style="144" min="1" max="1"/>
    <col width="16" customWidth="1" style="144" min="2" max="2"/>
    <col width="28" customWidth="1" style="144" min="3" max="3"/>
    <col width="22" customWidth="1" style="144" min="4" max="4"/>
    <col width="8" customWidth="1" style="144" min="5" max="5"/>
    <col width="16" customWidth="1" style="144" min="6" max="6"/>
    <col width="22" customWidth="1" style="144" min="7" max="7"/>
    <col width="12" customWidth="1" style="144" min="8" max="8"/>
    <col width="12" customWidth="1" style="144" min="9" max="9"/>
    <col width="9" customWidth="1" style="144" min="10" max="10"/>
    <col width="11" customWidth="1" style="144" min="11" max="11"/>
    <col width="16" customWidth="1" style="144" min="12" max="12"/>
    <col width="8" customWidth="1" style="144" min="13" max="13"/>
    <col width="9" customWidth="1" style="144" min="14" max="14"/>
    <col width="7" customWidth="1" style="144" min="15" max="15"/>
    <col width="8" customWidth="1" style="144" min="16" max="16"/>
    <col width="8" customWidth="1" style="144" min="17" max="17"/>
    <col width="36" customWidth="1" style="144" min="18" max="18"/>
  </cols>
  <sheetData>
    <row r="1">
      <c r="A1" s="292" t="inlineStr">
        <is>
          <t>칸 ID</t>
        </is>
      </c>
      <c r="B1" s="292" t="inlineStr">
        <is>
          <t>절·묶음</t>
        </is>
      </c>
      <c r="C1" s="292" t="inlineStr">
        <is>
          <t>칸 이름</t>
        </is>
      </c>
      <c r="D1" s="292" t="inlineStr">
        <is>
          <t>1단계 출처</t>
        </is>
      </c>
      <c r="E1" s="292" t="inlineStr">
        <is>
          <t>비용 종류</t>
        </is>
      </c>
      <c r="F1" s="292" t="inlineStr">
        <is>
          <t>계산 단위</t>
        </is>
      </c>
      <c r="G1" s="292" t="inlineStr">
        <is>
          <t>적용 인원</t>
        </is>
      </c>
      <c r="H1" s="292" t="inlineStr">
        <is>
          <t>λ 적용</t>
        </is>
      </c>
      <c r="I1" s="292" t="inlineStr">
        <is>
          <t>연간 총액에 포함</t>
        </is>
      </c>
      <c r="J1" s="292" t="inlineStr">
        <is>
          <t>생애 누적</t>
        </is>
      </c>
      <c r="K1" s="292" t="inlineStr">
        <is>
          <t>SCᵣ에 포함</t>
        </is>
      </c>
      <c r="L1" s="292" t="inlineStr">
        <is>
          <t>합산되는 곳</t>
        </is>
      </c>
      <c r="M1" s="292" t="inlineStr">
        <is>
          <t>관련 스위치</t>
        </is>
      </c>
      <c r="N1" s="292" t="inlineStr">
        <is>
          <t>현재 분류(10.21)</t>
        </is>
      </c>
      <c r="O1" s="292" t="inlineStr">
        <is>
          <t>변수 수</t>
        </is>
      </c>
      <c r="P1" s="292" t="inlineStr">
        <is>
          <t>미입력 변수</t>
        </is>
      </c>
      <c r="Q1" s="292" t="inlineStr">
        <is>
          <t>입력 진척(연결 제외)</t>
        </is>
      </c>
      <c r="R1" s="292" t="inlineStr">
        <is>
          <t>비고</t>
        </is>
      </c>
    </row>
    <row r="2">
      <c r="A2" s="293" t="inlineStr">
        <is>
          <t>제1절 의료·복지</t>
        </is>
      </c>
      <c r="B2" s="294" t="n"/>
      <c r="C2" s="294" t="n"/>
      <c r="D2" s="294" t="n"/>
      <c r="E2" s="294" t="n"/>
      <c r="F2" s="294" t="n"/>
      <c r="G2" s="294" t="n"/>
      <c r="H2" s="294" t="n"/>
      <c r="I2" s="294" t="n"/>
      <c r="J2" s="294" t="n"/>
      <c r="K2" s="294" t="n"/>
      <c r="L2" s="294" t="n"/>
      <c r="M2" s="294" t="n"/>
      <c r="N2" s="294" t="n"/>
      <c r="O2" s="294" t="n"/>
      <c r="P2" s="294" t="n"/>
      <c r="Q2" s="294" t="n"/>
      <c r="R2" s="294" t="n"/>
    </row>
    <row r="3">
      <c r="A3" s="295" t="inlineStr">
        <is>
          <t>1-1a</t>
        </is>
      </c>
      <c r="B3" s="295" t="inlineStr">
        <is>
          <t>제1절 의료·복지</t>
        </is>
      </c>
      <c r="C3" s="295" t="inlineStr">
        <is>
          <t>건강보험·의료급여 진료비</t>
        </is>
      </c>
      <c r="D3" s="295" t="inlineStr">
        <is>
          <t>직접의료비</t>
        </is>
      </c>
      <c r="E3" s="295" t="inlineStr">
        <is>
          <t>DC</t>
        </is>
      </c>
      <c r="F3" s="295" t="inlineStr">
        <is>
          <t>연간 총액</t>
        </is>
      </c>
      <c r="G3" s="295" t="inlineStr">
        <is>
          <t>진료 실인원</t>
        </is>
      </c>
      <c r="H3" s="296">
        <f>IF(구조_스위치!$D$7="보정 없음","아니오",IF(구조_스위치!$D$7="잠재 치료비 별도","별도 표기","결정 대기"))</f>
        <v/>
      </c>
      <c r="I3" s="295" t="inlineStr">
        <is>
          <t>예</t>
        </is>
      </c>
      <c r="J3" s="295" t="inlineStr">
        <is>
          <t>아니오</t>
        </is>
      </c>
      <c r="K3" s="295" t="inlineStr">
        <is>
          <t>예(1인당)</t>
        </is>
      </c>
      <c r="L3" s="295" t="inlineStr">
        <is>
          <t>제1절 소계</t>
        </is>
      </c>
      <c r="M3" s="295" t="inlineStr">
        <is>
          <t>S6</t>
        </is>
      </c>
      <c r="N3" s="297" t="inlineStr">
        <is>
          <t>B</t>
        </is>
      </c>
      <c r="O3" s="298">
        <f>COUNTIF(구조_변수!$B:$B,$A3)</f>
        <v/>
      </c>
      <c r="P3" s="298">
        <f>COUNTIFS(구조_변수!$B:$B,$A3,구조_변수!$J:$J,"미입력")</f>
        <v/>
      </c>
      <c r="Q3" s="299">
        <f>IF(O3=0,"-",IF(O3-COUNTIFS(구조_변수!$B:$B,$A3,구조_변수!$J:$J,"연결")=0,"연결만",(O3-P3-COUNTIFS(구조_변수!$B:$B,$A3,구조_변수!$J:$J,"연결"))/(O3-COUNTIFS(구조_변수!$B:$B,$A3,구조_변수!$J:$J,"연결"))))</f>
        <v/>
      </c>
      <c r="R3" s="295" t="inlineStr">
        <is>
          <t>물질 관련 장애 상병. 치료보호와 중복 제거</t>
        </is>
      </c>
    </row>
    <row r="4">
      <c r="A4" s="295" t="inlineStr">
        <is>
          <t>1-1b</t>
        </is>
      </c>
      <c r="B4" s="295" t="inlineStr">
        <is>
          <t>제1절 의료·복지</t>
        </is>
      </c>
      <c r="C4" s="295" t="inlineStr">
        <is>
          <t>치료보호 국고지원</t>
        </is>
      </c>
      <c r="D4" s="295" t="inlineStr">
        <is>
          <t>직접의료비(국고지원)</t>
        </is>
      </c>
      <c r="E4" s="295" t="inlineStr">
        <is>
          <t>DC</t>
        </is>
      </c>
      <c r="F4" s="295" t="inlineStr">
        <is>
          <t>연간 총액</t>
        </is>
      </c>
      <c r="G4" s="295" t="inlineStr">
        <is>
          <t>치료보호 인원</t>
        </is>
      </c>
      <c r="H4" s="295" t="inlineStr">
        <is>
          <t>아니오</t>
        </is>
      </c>
      <c r="I4" s="295" t="inlineStr">
        <is>
          <t>예</t>
        </is>
      </c>
      <c r="J4" s="295" t="inlineStr">
        <is>
          <t>아니오</t>
        </is>
      </c>
      <c r="K4" s="295" t="inlineStr">
        <is>
          <t>예(1인당)</t>
        </is>
      </c>
      <c r="L4" s="295" t="inlineStr">
        <is>
          <t>제1절 소계</t>
        </is>
      </c>
      <c r="M4" s="295" t="inlineStr"/>
      <c r="N4" s="297" t="inlineStr">
        <is>
          <t>B</t>
        </is>
      </c>
      <c r="O4" s="298">
        <f>COUNTIF(구조_변수!$B:$B,$A4)</f>
        <v/>
      </c>
      <c r="P4" s="298">
        <f>COUNTIFS(구조_변수!$B:$B,$A4,구조_변수!$J:$J,"미입력")</f>
        <v/>
      </c>
      <c r="Q4" s="299">
        <f>IF(O4=0,"-",IF(O4-COUNTIFS(구조_변수!$B:$B,$A4,구조_변수!$J:$J,"연결")=0,"연결만",(O4-P4-COUNTIFS(구조_변수!$B:$B,$A4,구조_변수!$J:$J,"연결"))/(O4-COUNTIFS(구조_변수!$B:$B,$A4,구조_변수!$J:$J,"연결"))))</f>
        <v/>
      </c>
      <c r="R4" s="295" t="inlineStr">
        <is>
          <t>2024. 7. 건강보험 적용 이후 1-1a와 겹침</t>
        </is>
      </c>
    </row>
    <row r="5">
      <c r="A5" s="295" t="inlineStr">
        <is>
          <t>1-1c</t>
        </is>
      </c>
      <c r="B5" s="295" t="inlineStr">
        <is>
          <t>제1절 의료·복지</t>
        </is>
      </c>
      <c r="C5" s="295" t="inlineStr">
        <is>
          <t>교정시설 수용자 의료비</t>
        </is>
      </c>
      <c r="D5" s="295" t="inlineStr">
        <is>
          <t>없음</t>
        </is>
      </c>
      <c r="E5" s="295" t="inlineStr">
        <is>
          <t>DC</t>
        </is>
      </c>
      <c r="F5" s="295" t="inlineStr">
        <is>
          <t>연간 총액</t>
        </is>
      </c>
      <c r="G5" s="295" t="inlineStr">
        <is>
          <t>마약류 수용인원</t>
        </is>
      </c>
      <c r="H5" s="295" t="inlineStr">
        <is>
          <t>아니오</t>
        </is>
      </c>
      <c r="I5" s="295" t="inlineStr">
        <is>
          <t>예</t>
        </is>
      </c>
      <c r="J5" s="295" t="inlineStr">
        <is>
          <t>아니오</t>
        </is>
      </c>
      <c r="K5" s="295" t="inlineStr">
        <is>
          <t>예(1인당)</t>
        </is>
      </c>
      <c r="L5" s="296">
        <f>IF(구조_스위치!$D$2="제1절 1","제1절 소계","제3절 소계")</f>
        <v/>
      </c>
      <c r="M5" s="295" t="inlineStr">
        <is>
          <t>S1</t>
        </is>
      </c>
      <c r="N5" s="297" t="inlineStr">
        <is>
          <t>C</t>
        </is>
      </c>
      <c r="O5" s="298">
        <f>COUNTIF(구조_변수!$B:$B,$A5)</f>
        <v/>
      </c>
      <c r="P5" s="298">
        <f>COUNTIFS(구조_변수!$B:$B,$A5,구조_변수!$J:$J,"미입력")</f>
        <v/>
      </c>
      <c r="Q5" s="299">
        <f>IF(O5=0,"-",IF(O5-COUNTIFS(구조_변수!$B:$B,$A5,구조_변수!$J:$J,"연결")=0,"연결만",(O5-P5-COUNTIFS(구조_변수!$B:$B,$A5,구조_변수!$J:$J,"연결"))/(O5-COUNTIFS(구조_변수!$B:$B,$A5,구조_변수!$J:$J,"연결"))))</f>
        <v/>
      </c>
      <c r="R5" s="295" t="inlineStr">
        <is>
          <t>서식7 단위(천원) 확인 필요</t>
        </is>
      </c>
    </row>
    <row r="6">
      <c r="A6" s="295" t="inlineStr">
        <is>
          <t>1-2</t>
        </is>
      </c>
      <c r="B6" s="295" t="inlineStr">
        <is>
          <t>제1절 의료·복지</t>
        </is>
      </c>
      <c r="C6" s="295" t="inlineStr">
        <is>
          <t>직접 비의료비(간접의료비)</t>
        </is>
      </c>
      <c r="D6" s="295" t="inlineStr">
        <is>
          <t>간접의료비 × 38.1%</t>
        </is>
      </c>
      <c r="E6" s="295" t="inlineStr">
        <is>
          <t>DC</t>
        </is>
      </c>
      <c r="F6" s="295" t="inlineStr">
        <is>
          <t>연간 총액</t>
        </is>
      </c>
      <c r="G6" s="295" t="inlineStr">
        <is>
          <t>1-1과 같음</t>
        </is>
      </c>
      <c r="H6" s="295" t="inlineStr">
        <is>
          <t>1-1 따름</t>
        </is>
      </c>
      <c r="I6" s="295" t="inlineStr">
        <is>
          <t>예</t>
        </is>
      </c>
      <c r="J6" s="295" t="inlineStr">
        <is>
          <t>아니오</t>
        </is>
      </c>
      <c r="K6" s="295" t="inlineStr">
        <is>
          <t>예(1인당)</t>
        </is>
      </c>
      <c r="L6" s="295" t="inlineStr">
        <is>
          <t>제1절 소계</t>
        </is>
      </c>
      <c r="M6" s="295" t="inlineStr">
        <is>
          <t>S6</t>
        </is>
      </c>
      <c r="N6" s="297" t="inlineStr">
        <is>
          <t>C</t>
        </is>
      </c>
      <c r="O6" s="298">
        <f>COUNTIF(구조_변수!$B:$B,$A6)</f>
        <v/>
      </c>
      <c r="P6" s="298">
        <f>COUNTIFS(구조_변수!$B:$B,$A6,구조_변수!$J:$J,"미입력")</f>
        <v/>
      </c>
      <c r="Q6" s="299">
        <f>IF(O6=0,"-",IF(O6-COUNTIFS(구조_변수!$B:$B,$A6,구조_변수!$J:$J,"연결")=0,"연결만",(O6-P6-COUNTIFS(구조_변수!$B:$B,$A6,구조_변수!$J:$J,"연결"))/(O6-COUNTIFS(구조_변수!$B:$B,$A6,구조_변수!$J:$J,"연결"))))</f>
        <v/>
      </c>
      <c r="R6" s="295" t="inlineStr">
        <is>
          <t>비율 출처 보고서 미확인</t>
        </is>
      </c>
    </row>
    <row r="7">
      <c r="A7" s="295" t="inlineStr">
        <is>
          <t>1-3</t>
        </is>
      </c>
      <c r="B7" s="295" t="inlineStr">
        <is>
          <t>제1절 의료·복지</t>
        </is>
      </c>
      <c r="C7" s="295" t="inlineStr">
        <is>
          <t>정신건강·복지 지원</t>
        </is>
      </c>
      <c r="D7" s="295" t="inlineStr">
        <is>
          <t>의료보조비(재정의)</t>
        </is>
      </c>
      <c r="E7" s="295" t="inlineStr">
        <is>
          <t>DC</t>
        </is>
      </c>
      <c r="F7" s="295" t="inlineStr">
        <is>
          <t>연간 총액</t>
        </is>
      </c>
      <c r="G7" s="295" t="inlineStr">
        <is>
          <t>사업 대상자</t>
        </is>
      </c>
      <c r="H7" s="295" t="inlineStr">
        <is>
          <t>아니오</t>
        </is>
      </c>
      <c r="I7" s="295" t="inlineStr">
        <is>
          <t>예</t>
        </is>
      </c>
      <c r="J7" s="295" t="inlineStr">
        <is>
          <t>아니오</t>
        </is>
      </c>
      <c r="K7" s="295" t="inlineStr">
        <is>
          <t>아니오</t>
        </is>
      </c>
      <c r="L7" s="295" t="inlineStr">
        <is>
          <t>제1절 소계</t>
        </is>
      </c>
      <c r="M7" s="295" t="inlineStr"/>
      <c r="N7" s="297" t="inlineStr">
        <is>
          <t>N</t>
        </is>
      </c>
      <c r="O7" s="298">
        <f>COUNTIF(구조_변수!$B:$B,$A7)</f>
        <v/>
      </c>
      <c r="P7" s="298">
        <f>COUNTIFS(구조_변수!$B:$B,$A7,구조_변수!$J:$J,"미입력")</f>
        <v/>
      </c>
      <c r="Q7" s="299">
        <f>IF(O7=0,"-",IF(O7-COUNTIFS(구조_변수!$B:$B,$A7,구조_변수!$J:$J,"연결")=0,"연결만",(O7-P7-COUNTIFS(구조_변수!$B:$B,$A7,구조_변수!$J:$J,"연결"))/(O7-COUNTIFS(구조_변수!$B:$B,$A7,구조_변수!$J:$J,"연결"))))</f>
        <v/>
      </c>
      <c r="R7" s="295" t="inlineStr">
        <is>
          <t>이전지출 제외, 센터 운영비로 재정의</t>
        </is>
      </c>
    </row>
    <row r="8">
      <c r="A8" s="293" t="inlineStr">
        <is>
          <t>제2절 생산성</t>
        </is>
      </c>
      <c r="B8" s="294" t="n"/>
      <c r="C8" s="294" t="n"/>
      <c r="D8" s="294" t="n"/>
      <c r="E8" s="294" t="n"/>
      <c r="F8" s="294" t="n"/>
      <c r="G8" s="294" t="n"/>
      <c r="H8" s="294" t="n"/>
      <c r="I8" s="294" t="n"/>
      <c r="J8" s="294" t="n"/>
      <c r="K8" s="294" t="n"/>
      <c r="L8" s="294" t="n"/>
      <c r="M8" s="294" t="n"/>
      <c r="N8" s="294" t="n"/>
      <c r="O8" s="294" t="n"/>
      <c r="P8" s="294" t="n"/>
      <c r="Q8" s="294" t="n"/>
      <c r="R8" s="294" t="n"/>
    </row>
    <row r="9">
      <c r="A9" s="295" t="inlineStr">
        <is>
          <t>2-1</t>
        </is>
      </c>
      <c r="B9" s="295" t="inlineStr">
        <is>
          <t>제2절 생산성</t>
        </is>
      </c>
      <c r="C9" s="295" t="inlineStr">
        <is>
          <t>조기 사망 생산성 손실</t>
        </is>
      </c>
      <c r="D9" s="295" t="inlineStr">
        <is>
          <t>조기사망비용(PV)</t>
        </is>
      </c>
      <c r="E9" s="295" t="inlineStr">
        <is>
          <t>IC</t>
        </is>
      </c>
      <c r="F9" s="295" t="inlineStr">
        <is>
          <t>연간 총액</t>
        </is>
      </c>
      <c r="G9" s="295" t="inlineStr">
        <is>
          <t>실제 사망자</t>
        </is>
      </c>
      <c r="H9" s="295" t="inlineStr">
        <is>
          <t>아니오</t>
        </is>
      </c>
      <c r="I9" s="295" t="inlineStr">
        <is>
          <t>예</t>
        </is>
      </c>
      <c r="J9" s="295" t="inlineStr">
        <is>
          <t>아니오</t>
        </is>
      </c>
      <c r="K9" s="295" t="inlineStr">
        <is>
          <t>아니오</t>
        </is>
      </c>
      <c r="L9" s="295" t="inlineStr">
        <is>
          <t>제2절 소계</t>
        </is>
      </c>
      <c r="M9" s="295" t="inlineStr"/>
      <c r="N9" s="297" t="inlineStr">
        <is>
          <t>B</t>
        </is>
      </c>
      <c r="O9" s="298">
        <f>COUNTIF(구조_변수!$B:$B,$A9)</f>
        <v/>
      </c>
      <c r="P9" s="298">
        <f>COUNTIFS(구조_변수!$B:$B,$A9,구조_변수!$J:$J,"미입력")</f>
        <v/>
      </c>
      <c r="Q9" s="299">
        <f>IF(O9=0,"-",IF(O9-COUNTIFS(구조_변수!$B:$B,$A9,구조_변수!$J:$J,"연결")=0,"연결만",(O9-P9-COUNTIFS(구조_변수!$B:$B,$A9,구조_변수!$J:$J,"연결"))/(O9-COUNTIFS(구조_변수!$B:$B,$A9,구조_변수!$J:$J,"연결"))))</f>
        <v/>
      </c>
      <c r="R9" s="295" t="inlineStr">
        <is>
          <t>사망자 3개년 평균 검토</t>
        </is>
      </c>
    </row>
    <row r="10">
      <c r="A10" s="295" t="inlineStr">
        <is>
          <t>2-2</t>
        </is>
      </c>
      <c r="B10" s="295" t="inlineStr">
        <is>
          <t>제2절 생산성</t>
        </is>
      </c>
      <c r="C10" s="295" t="inlineStr">
        <is>
          <t>이환·입원 생산성 손실</t>
        </is>
      </c>
      <c r="D10" s="295" t="inlineStr">
        <is>
          <t>의료이용 생산손실</t>
        </is>
      </c>
      <c r="E10" s="295" t="inlineStr">
        <is>
          <t>IC</t>
        </is>
      </c>
      <c r="F10" s="295" t="inlineStr">
        <is>
          <t>연간 총액</t>
        </is>
      </c>
      <c r="G10" s="295" t="inlineStr">
        <is>
          <t>진료 실인원</t>
        </is>
      </c>
      <c r="H10" s="296">
        <f>IF(구조_스위치!$D$7="결정 대기","결정 대기","1-1a 따름")</f>
        <v/>
      </c>
      <c r="I10" s="295" t="inlineStr">
        <is>
          <t>예</t>
        </is>
      </c>
      <c r="J10" s="295" t="inlineStr">
        <is>
          <t>아니오</t>
        </is>
      </c>
      <c r="K10" s="295" t="inlineStr">
        <is>
          <t>예(1인당)</t>
        </is>
      </c>
      <c r="L10" s="295" t="inlineStr">
        <is>
          <t>제2절 소계</t>
        </is>
      </c>
      <c r="M10" s="295" t="inlineStr">
        <is>
          <t>S6</t>
        </is>
      </c>
      <c r="N10" s="297" t="inlineStr">
        <is>
          <t>B</t>
        </is>
      </c>
      <c r="O10" s="298">
        <f>COUNTIF(구조_변수!$B:$B,$A10)</f>
        <v/>
      </c>
      <c r="P10" s="298">
        <f>COUNTIFS(구조_변수!$B:$B,$A10,구조_변수!$J:$J,"미입력")</f>
        <v/>
      </c>
      <c r="Q10" s="299">
        <f>IF(O10=0,"-",IF(O10-COUNTIFS(구조_변수!$B:$B,$A10,구조_변수!$J:$J,"연결")=0,"연결만",(O10-P10-COUNTIFS(구조_변수!$B:$B,$A10,구조_변수!$J:$J,"연결"))/(O10-COUNTIFS(구조_변수!$B:$B,$A10,구조_변수!$J:$J,"연결"))))</f>
        <v/>
      </c>
      <c r="R10" s="295" t="inlineStr">
        <is>
          <t>외래 1회 = 1/3일 가정</t>
        </is>
      </c>
    </row>
    <row r="11">
      <c r="A11" s="295" t="inlineStr">
        <is>
          <t>2-3a</t>
        </is>
      </c>
      <c r="B11" s="295" t="inlineStr">
        <is>
          <t>제2절 생산성</t>
        </is>
      </c>
      <c r="C11" s="295" t="inlineStr">
        <is>
          <t>구금 기간 생산성 손실</t>
        </is>
      </c>
      <c r="D11" s="295" t="inlineStr">
        <is>
          <t>없음(신설)</t>
        </is>
      </c>
      <c r="E11" s="295" t="inlineStr">
        <is>
          <t>IC</t>
        </is>
      </c>
      <c r="F11" s="295" t="inlineStr">
        <is>
          <t>연간 총액</t>
        </is>
      </c>
      <c r="G11" s="295" t="inlineStr">
        <is>
          <t>마약류 1일 평균 수용인원</t>
        </is>
      </c>
      <c r="H11" s="295" t="inlineStr">
        <is>
          <t>아니오</t>
        </is>
      </c>
      <c r="I11" s="295" t="inlineStr">
        <is>
          <t>예</t>
        </is>
      </c>
      <c r="J11" s="295" t="inlineStr">
        <is>
          <t>아니오</t>
        </is>
      </c>
      <c r="K11" s="295" t="inlineStr">
        <is>
          <t>예(1인당)</t>
        </is>
      </c>
      <c r="L11" s="295" t="inlineStr">
        <is>
          <t>제2절 소계</t>
        </is>
      </c>
      <c r="M11" s="295" t="inlineStr">
        <is>
          <t>S4</t>
        </is>
      </c>
      <c r="N11" s="297" t="inlineStr">
        <is>
          <t>N</t>
        </is>
      </c>
      <c r="O11" s="298">
        <f>COUNTIF(구조_변수!$B:$B,$A11)</f>
        <v/>
      </c>
      <c r="P11" s="298">
        <f>COUNTIFS(구조_변수!$B:$B,$A11,구조_변수!$J:$J,"미입력")</f>
        <v/>
      </c>
      <c r="Q11" s="299">
        <f>IF(O11=0,"-",IF(O11-COUNTIFS(구조_변수!$B:$B,$A11,구조_변수!$J:$J,"연결")=0,"연결만",(O11-P11-COUNTIFS(구조_변수!$B:$B,$A11,구조_변수!$J:$J,"연결"))/(O11-COUNTIFS(구조_변수!$B:$B,$A11,구조_변수!$J:$J,"연결"))))</f>
        <v/>
      </c>
      <c r="R11" s="295" t="inlineStr">
        <is>
          <t>2-3b와 같은 기간 중복 금지</t>
        </is>
      </c>
    </row>
    <row r="12">
      <c r="A12" s="295" t="inlineStr">
        <is>
          <t>2-3b</t>
        </is>
      </c>
      <c r="B12" s="295" t="inlineStr">
        <is>
          <t>제2절 생산성</t>
        </is>
      </c>
      <c r="C12" s="295" t="inlineStr">
        <is>
          <t>의존 상태 미취업 손실</t>
        </is>
      </c>
      <c r="D12" s="295" t="inlineStr">
        <is>
          <t>없음(신설)</t>
        </is>
      </c>
      <c r="E12" s="295" t="inlineStr">
        <is>
          <t>IC</t>
        </is>
      </c>
      <c r="F12" s="295" t="inlineStr">
        <is>
          <t>연간 총액</t>
        </is>
      </c>
      <c r="G12" s="295" t="inlineStr">
        <is>
          <t>N* 중 의존 상태 인원</t>
        </is>
      </c>
      <c r="H12" s="295" t="inlineStr">
        <is>
          <t>예</t>
        </is>
      </c>
      <c r="I12" s="295" t="inlineStr">
        <is>
          <t>예</t>
        </is>
      </c>
      <c r="J12" s="295" t="inlineStr">
        <is>
          <t>아니오</t>
        </is>
      </c>
      <c r="K12" s="295" t="inlineStr">
        <is>
          <t>예(1인당)</t>
        </is>
      </c>
      <c r="L12" s="295" t="inlineStr">
        <is>
          <t>제2절 소계</t>
        </is>
      </c>
      <c r="M12" s="295" t="inlineStr">
        <is>
          <t>S4</t>
        </is>
      </c>
      <c r="N12" s="297" t="inlineStr">
        <is>
          <t>R1</t>
        </is>
      </c>
      <c r="O12" s="298">
        <f>COUNTIF(구조_변수!$B:$B,$A12)</f>
        <v/>
      </c>
      <c r="P12" s="298">
        <f>COUNTIFS(구조_변수!$B:$B,$A12,구조_변수!$J:$J,"미입력")</f>
        <v/>
      </c>
      <c r="Q12" s="299">
        <f>IF(O12=0,"-",IF(O12-COUNTIFS(구조_변수!$B:$B,$A12,구조_변수!$J:$J,"연결")=0,"연결만",(O12-P12-COUNTIFS(구조_변수!$B:$B,$A12,구조_변수!$J:$J,"연결"))/(O12-COUNTIFS(구조_변수!$B:$B,$A12,구조_변수!$J:$J,"연결"))))</f>
        <v/>
      </c>
      <c r="R12" s="295" t="inlineStr">
        <is>
          <t>의존 비율 자료 없음</t>
        </is>
      </c>
    </row>
    <row r="13">
      <c r="A13" s="295" t="inlineStr">
        <is>
          <t>2-3c</t>
        </is>
      </c>
      <c r="B13" s="295" t="inlineStr">
        <is>
          <t>제2절 생산성</t>
        </is>
      </c>
      <c r="C13" s="295" t="inlineStr">
        <is>
          <t>연령대별 생애 손실 PV_a</t>
        </is>
      </c>
      <c r="D13" s="295" t="inlineStr">
        <is>
          <t>별도 축 세대별 손실</t>
        </is>
      </c>
      <c r="E13" s="295" t="inlineStr">
        <is>
          <t>IC</t>
        </is>
      </c>
      <c r="F13" s="295" t="inlineStr">
        <is>
          <t>1인당 생애 현재가치</t>
        </is>
      </c>
      <c r="G13" s="295" t="inlineStr">
        <is>
          <t>연령 5구간 신규 진입자</t>
        </is>
      </c>
      <c r="H13" s="295" t="inlineStr">
        <is>
          <t>아니오</t>
        </is>
      </c>
      <c r="I13" s="295" t="inlineStr">
        <is>
          <t>아니오</t>
        </is>
      </c>
      <c r="J13" s="295" t="inlineStr">
        <is>
          <t>예</t>
        </is>
      </c>
      <c r="K13" s="295" t="inlineStr">
        <is>
          <t>아니오</t>
        </is>
      </c>
      <c r="L13" s="295" t="inlineStr">
        <is>
          <t>생애 누적표(제6절)</t>
        </is>
      </c>
      <c r="M13" s="295" t="inlineStr">
        <is>
          <t>S4</t>
        </is>
      </c>
      <c r="N13" s="297" t="inlineStr">
        <is>
          <t>C</t>
        </is>
      </c>
      <c r="O13" s="298">
        <f>COUNTIF(구조_변수!$B:$B,$A13)</f>
        <v/>
      </c>
      <c r="P13" s="298">
        <f>COUNTIFS(구조_변수!$B:$B,$A13,구조_변수!$J:$J,"미입력")</f>
        <v/>
      </c>
      <c r="Q13" s="299">
        <f>IF(O13=0,"-",IF(O13-COUNTIFS(구조_변수!$B:$B,$A13,구조_변수!$J:$J,"연결")=0,"연결만",(O13-P13-COUNTIFS(구조_변수!$B:$B,$A13,구조_변수!$J:$J,"연결"))/(O13-COUNTIFS(구조_변수!$B:$B,$A13,구조_변수!$J:$J,"연결"))))</f>
        <v/>
      </c>
      <c r="R13" s="295" t="inlineStr">
        <is>
          <t>연간 총액에 더하지 않음</t>
        </is>
      </c>
    </row>
    <row r="14">
      <c r="A14" s="295" t="inlineStr">
        <is>
          <t>2-3d</t>
        </is>
      </c>
      <c r="B14" s="295" t="inlineStr">
        <is>
          <t>제2절 생산성</t>
        </is>
      </c>
      <c r="C14" s="295" t="inlineStr">
        <is>
          <t>재범 누적 TC_코호트</t>
        </is>
      </c>
      <c r="D14" s="295" t="inlineStr">
        <is>
          <t>별도 축 재범 누적</t>
        </is>
      </c>
      <c r="E14" s="295" t="inlineStr">
        <is>
          <t>IC</t>
        </is>
      </c>
      <c r="F14" s="295" t="inlineStr">
        <is>
          <t>코호트 누적 현재가치</t>
        </is>
      </c>
      <c r="G14" s="295" t="inlineStr">
        <is>
          <t>재범자 코호트</t>
        </is>
      </c>
      <c r="H14" s="295" t="inlineStr">
        <is>
          <t>아니오</t>
        </is>
      </c>
      <c r="I14" s="295" t="inlineStr">
        <is>
          <t>아니오</t>
        </is>
      </c>
      <c r="J14" s="295" t="inlineStr">
        <is>
          <t>예</t>
        </is>
      </c>
      <c r="K14" s="295" t="inlineStr">
        <is>
          <t>아니오</t>
        </is>
      </c>
      <c r="L14" s="295" t="inlineStr">
        <is>
          <t>생애 누적표(제6절)</t>
        </is>
      </c>
      <c r="M14" s="295" t="inlineStr">
        <is>
          <t>S4</t>
        </is>
      </c>
      <c r="N14" s="297" t="inlineStr">
        <is>
          <t>C</t>
        </is>
      </c>
      <c r="O14" s="298">
        <f>COUNTIF(구조_변수!$B:$B,$A14)</f>
        <v/>
      </c>
      <c r="P14" s="298">
        <f>COUNTIFS(구조_변수!$B:$B,$A14,구조_변수!$J:$J,"미입력")</f>
        <v/>
      </c>
      <c r="Q14" s="299">
        <f>IF(O14=0,"-",IF(O14-COUNTIFS(구조_변수!$B:$B,$A14,구조_변수!$J:$J,"연결")=0,"연결만",(O14-P14-COUNTIFS(구조_변수!$B:$B,$A14,구조_변수!$J:$J,"연결"))/(O14-COUNTIFS(구조_변수!$B:$B,$A14,구조_변수!$J:$J,"연결"))))</f>
        <v/>
      </c>
      <c r="R14" s="295" t="inlineStr">
        <is>
          <t>C_1회 = SCᵣ</t>
        </is>
      </c>
    </row>
    <row r="15">
      <c r="A15" s="293" t="inlineStr">
        <is>
          <t>제3절 형사사법</t>
        </is>
      </c>
      <c r="B15" s="294" t="n"/>
      <c r="C15" s="294" t="n"/>
      <c r="D15" s="294" t="n"/>
      <c r="E15" s="294" t="n"/>
      <c r="F15" s="294" t="n"/>
      <c r="G15" s="294" t="n"/>
      <c r="H15" s="294" t="n"/>
      <c r="I15" s="294" t="n"/>
      <c r="J15" s="294" t="n"/>
      <c r="K15" s="294" t="n"/>
      <c r="L15" s="294" t="n"/>
      <c r="M15" s="294" t="n"/>
      <c r="N15" s="294" t="n"/>
      <c r="O15" s="294" t="n"/>
      <c r="P15" s="294" t="n"/>
      <c r="Q15" s="294" t="n"/>
      <c r="R15" s="294" t="n"/>
    </row>
    <row r="16">
      <c r="A16" s="295" t="inlineStr">
        <is>
          <t>3-1a</t>
        </is>
      </c>
      <c r="B16" s="295" t="inlineStr">
        <is>
          <t>제3절 형사사법</t>
        </is>
      </c>
      <c r="C16" s="295" t="inlineStr">
        <is>
          <t>검찰 단계 비용</t>
        </is>
      </c>
      <c r="D16" s="295" t="inlineStr">
        <is>
          <t>수사·기소</t>
        </is>
      </c>
      <c r="E16" s="296">
        <f>구조_스위치!$D$8</f>
        <v/>
      </c>
      <c r="F16" s="295" t="inlineStr">
        <is>
          <t>연간 총액 · 1인당</t>
        </is>
      </c>
      <c r="G16" s="295" t="inlineStr">
        <is>
          <t>실제 검거·처리 인원</t>
        </is>
      </c>
      <c r="H16" s="295" t="inlineStr">
        <is>
          <t>아니오</t>
        </is>
      </c>
      <c r="I16" s="295" t="inlineStr">
        <is>
          <t>예</t>
        </is>
      </c>
      <c r="J16" s="295" t="inlineStr">
        <is>
          <t>아니오</t>
        </is>
      </c>
      <c r="K16" s="295" t="inlineStr">
        <is>
          <t>예(1건당)</t>
        </is>
      </c>
      <c r="L16" s="295" t="inlineStr">
        <is>
          <t>제3절 소계</t>
        </is>
      </c>
      <c r="M16" s="295" t="inlineStr">
        <is>
          <t>S7</t>
        </is>
      </c>
      <c r="N16" s="297" t="inlineStr">
        <is>
          <t>A</t>
        </is>
      </c>
      <c r="O16" s="298">
        <f>COUNTIF(구조_변수!$B:$B,$A16)</f>
        <v/>
      </c>
      <c r="P16" s="298">
        <f>COUNTIFS(구조_변수!$B:$B,$A16,구조_변수!$J:$J,"미입력")</f>
        <v/>
      </c>
      <c r="Q16" s="299">
        <f>IF(O16=0,"-",IF(O16-COUNTIFS(구조_변수!$B:$B,$A16,구조_변수!$J:$J,"연결")=0,"연결만",(O16-P16-COUNTIFS(구조_변수!$B:$B,$A16,구조_변수!$J:$J,"연결"))/(O16-COUNTIFS(구조_변수!$B:$B,$A16,구조_변수!$J:$J,"연결"))))</f>
        <v/>
      </c>
      <c r="R16" s="295" t="inlineStr"/>
    </row>
    <row r="17">
      <c r="A17" s="295" t="inlineStr">
        <is>
          <t>3-1b</t>
        </is>
      </c>
      <c r="B17" s="295" t="inlineStr">
        <is>
          <t>제3절 형사사법</t>
        </is>
      </c>
      <c r="C17" s="295" t="inlineStr">
        <is>
          <t>경찰·관세청·해경 수사 비용</t>
        </is>
      </c>
      <c r="D17" s="295" t="inlineStr">
        <is>
          <t>수사</t>
        </is>
      </c>
      <c r="E17" s="296">
        <f>구조_스위치!$D$8</f>
        <v/>
      </c>
      <c r="F17" s="295" t="inlineStr">
        <is>
          <t>연간 총액</t>
        </is>
      </c>
      <c r="G17" s="295" t="inlineStr">
        <is>
          <t>실제 검거 인원</t>
        </is>
      </c>
      <c r="H17" s="295" t="inlineStr">
        <is>
          <t>아니오</t>
        </is>
      </c>
      <c r="I17" s="295" t="inlineStr">
        <is>
          <t>예</t>
        </is>
      </c>
      <c r="J17" s="295" t="inlineStr">
        <is>
          <t>아니오</t>
        </is>
      </c>
      <c r="K17" s="295" t="inlineStr">
        <is>
          <t>예(1건당)</t>
        </is>
      </c>
      <c r="L17" s="295" t="inlineStr">
        <is>
          <t>제3절 소계</t>
        </is>
      </c>
      <c r="M17" s="295" t="inlineStr">
        <is>
          <t>S7</t>
        </is>
      </c>
      <c r="N17" s="297" t="inlineStr">
        <is>
          <t>B</t>
        </is>
      </c>
      <c r="O17" s="298">
        <f>COUNTIF(구조_변수!$B:$B,$A17)</f>
        <v/>
      </c>
      <c r="P17" s="298">
        <f>COUNTIFS(구조_변수!$B:$B,$A17,구조_변수!$J:$J,"미입력")</f>
        <v/>
      </c>
      <c r="Q17" s="299">
        <f>IF(O17=0,"-",IF(O17-COUNTIFS(구조_변수!$B:$B,$A17,구조_변수!$J:$J,"연결")=0,"연결만",(O17-P17-COUNTIFS(구조_변수!$B:$B,$A17,구조_변수!$J:$J,"연결"))/(O17-COUNTIFS(구조_변수!$B:$B,$A17,구조_변수!$J:$J,"연결"))))</f>
        <v/>
      </c>
      <c r="R17" s="295" t="inlineStr">
        <is>
          <t>전담 예산과 배분 추정분 구분</t>
        </is>
      </c>
    </row>
    <row r="18">
      <c r="A18" s="295" t="inlineStr">
        <is>
          <t>3-2</t>
        </is>
      </c>
      <c r="B18" s="295" t="inlineStr">
        <is>
          <t>제3절 형사사법</t>
        </is>
      </c>
      <c r="C18" s="295" t="inlineStr">
        <is>
          <t>재판·국선변호 비용</t>
        </is>
      </c>
      <c r="D18" s="295" t="inlineStr">
        <is>
          <t>재판</t>
        </is>
      </c>
      <c r="E18" s="296">
        <f>구조_스위치!$D$8</f>
        <v/>
      </c>
      <c r="F18" s="295" t="inlineStr">
        <is>
          <t>연간 총액</t>
        </is>
      </c>
      <c r="G18" s="295" t="inlineStr">
        <is>
          <t>1심 처리 인원</t>
        </is>
      </c>
      <c r="H18" s="295" t="inlineStr">
        <is>
          <t>아니오</t>
        </is>
      </c>
      <c r="I18" s="295" t="inlineStr">
        <is>
          <t>예</t>
        </is>
      </c>
      <c r="J18" s="295" t="inlineStr">
        <is>
          <t>아니오</t>
        </is>
      </c>
      <c r="K18" s="295" t="inlineStr">
        <is>
          <t>예(1건당)</t>
        </is>
      </c>
      <c r="L18" s="295" t="inlineStr">
        <is>
          <t>제3절 소계</t>
        </is>
      </c>
      <c r="M18" s="295" t="inlineStr">
        <is>
          <t>S7</t>
        </is>
      </c>
      <c r="N18" s="297" t="inlineStr">
        <is>
          <t>B</t>
        </is>
      </c>
      <c r="O18" s="298">
        <f>COUNTIF(구조_변수!$B:$B,$A18)</f>
        <v/>
      </c>
      <c r="P18" s="298">
        <f>COUNTIFS(구조_변수!$B:$B,$A18,구조_변수!$J:$J,"미입력")</f>
        <v/>
      </c>
      <c r="Q18" s="299">
        <f>IF(O18=0,"-",IF(O18-COUNTIFS(구조_변수!$B:$B,$A18,구조_변수!$J:$J,"연결")=0,"연결만",(O18-P18-COUNTIFS(구조_변수!$B:$B,$A18,구조_변수!$J:$J,"연결"))/(O18-COUNTIFS(구조_변수!$B:$B,$A18,구조_변수!$J:$J,"연결"))))</f>
        <v/>
      </c>
      <c r="R18" s="295" t="inlineStr">
        <is>
          <t>검찰 기소 단계와 경계 설정</t>
        </is>
      </c>
    </row>
    <row r="19">
      <c r="A19" s="295" t="inlineStr">
        <is>
          <t>3-3a</t>
        </is>
      </c>
      <c r="B19" s="295" t="inlineStr">
        <is>
          <t>제3절 형사사법</t>
        </is>
      </c>
      <c r="C19" s="295" t="inlineStr">
        <is>
          <t>교정 수용 관리비(UC-01)</t>
        </is>
      </c>
      <c r="D19" s="295" t="inlineStr">
        <is>
          <t>수용</t>
        </is>
      </c>
      <c r="E19" s="296">
        <f>구조_스위치!$D$8</f>
        <v/>
      </c>
      <c r="F19" s="295" t="inlineStr">
        <is>
          <t>연간 총액 · 1인당</t>
        </is>
      </c>
      <c r="G19" s="295" t="inlineStr">
        <is>
          <t>마약류 1일 평균 수용인원</t>
        </is>
      </c>
      <c r="H19" s="295" t="inlineStr">
        <is>
          <t>아니오</t>
        </is>
      </c>
      <c r="I19" s="295" t="inlineStr">
        <is>
          <t>예</t>
        </is>
      </c>
      <c r="J19" s="295" t="inlineStr">
        <is>
          <t>아니오</t>
        </is>
      </c>
      <c r="K19" s="295" t="inlineStr">
        <is>
          <t>예(1건당)</t>
        </is>
      </c>
      <c r="L19" s="295" t="inlineStr">
        <is>
          <t>제3절 소계</t>
        </is>
      </c>
      <c r="M19" s="295" t="inlineStr">
        <is>
          <t>S7</t>
        </is>
      </c>
      <c r="N19" s="297" t="inlineStr">
        <is>
          <t>A</t>
        </is>
      </c>
      <c r="O19" s="298">
        <f>COUNTIF(구조_변수!$B:$B,$A19)</f>
        <v/>
      </c>
      <c r="P19" s="298">
        <f>COUNTIFS(구조_변수!$B:$B,$A19,구조_변수!$J:$J,"미입력")</f>
        <v/>
      </c>
      <c r="Q19" s="299">
        <f>IF(O19=0,"-",IF(O19-COUNTIFS(구조_변수!$B:$B,$A19,구조_변수!$J:$J,"연결")=0,"연결만",(O19-P19-COUNTIFS(구조_변수!$B:$B,$A19,구조_변수!$J:$J,"연결"))/(O19-COUNTIFS(구조_변수!$B:$B,$A19,구조_변수!$J:$J,"연결"))))</f>
        <v/>
      </c>
      <c r="R19" s="295" t="inlineStr">
        <is>
          <t>기본 2,378만 원 / 상한 2,651만 원 / 원고 2,396만 원 중 확정</t>
        </is>
      </c>
    </row>
    <row r="20">
      <c r="A20" s="295" t="inlineStr">
        <is>
          <t>3-3b</t>
        </is>
      </c>
      <c r="B20" s="295" t="inlineStr">
        <is>
          <t>제3절 형사사법</t>
        </is>
      </c>
      <c r="C20" s="295" t="inlineStr">
        <is>
          <t>보호관찰·이수명령 비용</t>
        </is>
      </c>
      <c r="D20" s="295" t="inlineStr">
        <is>
          <t>보호관찰</t>
        </is>
      </c>
      <c r="E20" s="296">
        <f>구조_스위치!$D$8</f>
        <v/>
      </c>
      <c r="F20" s="295" t="inlineStr">
        <is>
          <t>연간 총액</t>
        </is>
      </c>
      <c r="G20" s="295" t="inlineStr">
        <is>
          <t>보호관찰 대상 마약류사범</t>
        </is>
      </c>
      <c r="H20" s="295" t="inlineStr">
        <is>
          <t>아니오</t>
        </is>
      </c>
      <c r="I20" s="295" t="inlineStr">
        <is>
          <t>예</t>
        </is>
      </c>
      <c r="J20" s="295" t="inlineStr">
        <is>
          <t>아니오</t>
        </is>
      </c>
      <c r="K20" s="295" t="inlineStr">
        <is>
          <t>예(1건당)</t>
        </is>
      </c>
      <c r="L20" s="295" t="inlineStr">
        <is>
          <t>제3절 소계</t>
        </is>
      </c>
      <c r="M20" s="295" t="inlineStr">
        <is>
          <t>S7</t>
        </is>
      </c>
      <c r="N20" s="297" t="inlineStr">
        <is>
          <t>B</t>
        </is>
      </c>
      <c r="O20" s="298">
        <f>COUNTIF(구조_변수!$B:$B,$A20)</f>
        <v/>
      </c>
      <c r="P20" s="298">
        <f>COUNTIFS(구조_변수!$B:$B,$A20,구조_변수!$J:$J,"미입력")</f>
        <v/>
      </c>
      <c r="Q20" s="299">
        <f>IF(O20=0,"-",IF(O20-COUNTIFS(구조_변수!$B:$B,$A20,구조_변수!$J:$J,"연결")=0,"연결만",(O20-P20-COUNTIFS(구조_변수!$B:$B,$A20,구조_변수!$J:$J,"연결"))/(O20-COUNTIFS(구조_변수!$B:$B,$A20,구조_변수!$J:$J,"연결"))))</f>
        <v/>
      </c>
      <c r="R20" s="295" t="inlineStr">
        <is>
          <t>예산 배분 가정</t>
        </is>
      </c>
    </row>
    <row r="21">
      <c r="A21" s="295" t="inlineStr">
        <is>
          <t>3-3c</t>
        </is>
      </c>
      <c r="B21" s="295" t="inlineStr">
        <is>
          <t>제3절 형사사법</t>
        </is>
      </c>
      <c r="C21" s="295" t="inlineStr">
        <is>
          <t>치료감호(국립법무병원 2호)</t>
        </is>
      </c>
      <c r="D21" s="295" t="inlineStr">
        <is>
          <t>치료감호</t>
        </is>
      </c>
      <c r="E21" s="296">
        <f>구조_스위치!$D$8</f>
        <v/>
      </c>
      <c r="F21" s="295" t="inlineStr">
        <is>
          <t>연간 총액</t>
        </is>
      </c>
      <c r="G21" s="295" t="inlineStr">
        <is>
          <t>2호 연평균 수용인원</t>
        </is>
      </c>
      <c r="H21" s="295" t="inlineStr">
        <is>
          <t>아니오</t>
        </is>
      </c>
      <c r="I21" s="295" t="inlineStr">
        <is>
          <t>예</t>
        </is>
      </c>
      <c r="J21" s="295" t="inlineStr">
        <is>
          <t>아니오</t>
        </is>
      </c>
      <c r="K21" s="295" t="inlineStr">
        <is>
          <t>아니오</t>
        </is>
      </c>
      <c r="L21" s="296">
        <f>IF(구조_스위치!$D$3="제3절 3","제3절 소계","제1절 소계")</f>
        <v/>
      </c>
      <c r="M21" s="295" t="inlineStr">
        <is>
          <t>S2</t>
        </is>
      </c>
      <c r="N21" s="297" t="inlineStr">
        <is>
          <t>B</t>
        </is>
      </c>
      <c r="O21" s="298">
        <f>COUNTIF(구조_변수!$B:$B,$A21)</f>
        <v/>
      </c>
      <c r="P21" s="298">
        <f>COUNTIFS(구조_변수!$B:$B,$A21,구조_변수!$J:$J,"미입력")</f>
        <v/>
      </c>
      <c r="Q21" s="299">
        <f>IF(O21=0,"-",IF(O21-COUNTIFS(구조_변수!$B:$B,$A21,구조_변수!$J:$J,"연결")=0,"연결만",(O21-P21-COUNTIFS(구조_변수!$B:$B,$A21,구조_변수!$J:$J,"연결"))/(O21-COUNTIFS(구조_변수!$B:$B,$A21,구조_변수!$J:$J,"연결"))))</f>
        <v/>
      </c>
      <c r="R21" s="295" t="inlineStr">
        <is>
          <t>병원 전체 결산을 2호 비율로 배분</t>
        </is>
      </c>
    </row>
    <row r="22">
      <c r="A22" s="293" t="inlineStr">
        <is>
          <t>제4절 피해자·주위</t>
        </is>
      </c>
      <c r="B22" s="294" t="n"/>
      <c r="C22" s="294" t="n"/>
      <c r="D22" s="294" t="n"/>
      <c r="E22" s="294" t="n"/>
      <c r="F22" s="294" t="n"/>
      <c r="G22" s="294" t="n"/>
      <c r="H22" s="294" t="n"/>
      <c r="I22" s="294" t="n"/>
      <c r="J22" s="294" t="n"/>
      <c r="K22" s="294" t="n"/>
      <c r="L22" s="294" t="n"/>
      <c r="M22" s="294" t="n"/>
      <c r="N22" s="294" t="n"/>
      <c r="O22" s="294" t="n"/>
      <c r="P22" s="294" t="n"/>
      <c r="Q22" s="294" t="n"/>
      <c r="R22" s="294" t="n"/>
    </row>
    <row r="23">
      <c r="A23" s="295" t="inlineStr">
        <is>
          <t>4-1</t>
        </is>
      </c>
      <c r="B23" s="295" t="inlineStr">
        <is>
          <t>제4절 피해자·주위</t>
        </is>
      </c>
      <c r="C23" s="295" t="inlineStr">
        <is>
          <t>2차 범죄 직접 피해(불특정 다수)</t>
        </is>
      </c>
      <c r="D23" s="295" t="inlineStr">
        <is>
          <t>사회혼란 · 불특정 다수 피해</t>
        </is>
      </c>
      <c r="E23" s="295" t="inlineStr">
        <is>
          <t>IC</t>
        </is>
      </c>
      <c r="F23" s="295" t="inlineStr">
        <is>
          <t>연간 총액</t>
        </is>
      </c>
      <c r="G23" s="295" t="inlineStr">
        <is>
          <t>범죄·사고 건수</t>
        </is>
      </c>
      <c r="H23" s="295" t="inlineStr">
        <is>
          <t>아니오</t>
        </is>
      </c>
      <c r="I23" s="295" t="inlineStr">
        <is>
          <t>예</t>
        </is>
      </c>
      <c r="J23" s="295" t="inlineStr">
        <is>
          <t>아니오</t>
        </is>
      </c>
      <c r="K23" s="295" t="inlineStr">
        <is>
          <t>예(귀속분)</t>
        </is>
      </c>
      <c r="L23" s="295" t="inlineStr">
        <is>
          <t>제4절 소계</t>
        </is>
      </c>
      <c r="M23" s="295" t="inlineStr"/>
      <c r="N23" s="297" t="inlineStr">
        <is>
          <t>B</t>
        </is>
      </c>
      <c r="O23" s="298">
        <f>COUNTIF(구조_변수!$B:$B,$A23)</f>
        <v/>
      </c>
      <c r="P23" s="298">
        <f>COUNTIFS(구조_변수!$B:$B,$A23,구조_변수!$J:$J,"미입력")</f>
        <v/>
      </c>
      <c r="Q23" s="299">
        <f>IF(O23=0,"-",IF(O23-COUNTIFS(구조_변수!$B:$B,$A23,구조_변수!$J:$J,"연결")=0,"연결만",(O23-P23-COUNTIFS(구조_변수!$B:$B,$A23,구조_변수!$J:$J,"연결"))/(O23-COUNTIFS(구조_변수!$B:$B,$A23,구조_변수!$J:$J,"연결"))))</f>
        <v/>
      </c>
      <c r="R23" s="295" t="inlineStr">
        <is>
          <t>제5절 2와 중복 금지</t>
        </is>
      </c>
    </row>
    <row r="24">
      <c r="A24" s="295" t="inlineStr">
        <is>
          <t>4-2a</t>
        </is>
      </c>
      <c r="B24" s="295" t="inlineStr">
        <is>
          <t>제4절 피해자·주위</t>
        </is>
      </c>
      <c r="C24" s="295" t="inlineStr">
        <is>
          <t>피해자 사망·중상 PGS</t>
        </is>
      </c>
      <c r="D24" s="295" t="inlineStr">
        <is>
          <t>사망 PGS</t>
        </is>
      </c>
      <c r="E24" s="295" t="inlineStr">
        <is>
          <t>PGS</t>
        </is>
      </c>
      <c r="F24" s="295" t="inlineStr">
        <is>
          <t>연간 총액</t>
        </is>
      </c>
      <c r="G24" s="295" t="inlineStr">
        <is>
          <t>2차 범죄·사고 사망자·부상자</t>
        </is>
      </c>
      <c r="H24" s="295" t="inlineStr">
        <is>
          <t>아니오</t>
        </is>
      </c>
      <c r="I24" s="295" t="inlineStr">
        <is>
          <t>예</t>
        </is>
      </c>
      <c r="J24" s="295" t="inlineStr">
        <is>
          <t>아니오</t>
        </is>
      </c>
      <c r="K24" s="295" t="inlineStr">
        <is>
          <t>예(귀속분)</t>
        </is>
      </c>
      <c r="L24" s="295" t="inlineStr">
        <is>
          <t>제4절 소계</t>
        </is>
      </c>
      <c r="M24" s="295" t="inlineStr"/>
      <c r="N24" s="297" t="inlineStr">
        <is>
          <t>B</t>
        </is>
      </c>
      <c r="O24" s="298">
        <f>COUNTIF(구조_변수!$B:$B,$A24)</f>
        <v/>
      </c>
      <c r="P24" s="298">
        <f>COUNTIFS(구조_변수!$B:$B,$A24,구조_변수!$J:$J,"미입력")</f>
        <v/>
      </c>
      <c r="Q24" s="299">
        <f>IF(O24=0,"-",IF(O24-COUNTIFS(구조_변수!$B:$B,$A24,구조_변수!$J:$J,"연결")=0,"연결만",(O24-P24-COUNTIFS(구조_변수!$B:$B,$A24,구조_변수!$J:$J,"연결"))/(O24-COUNTIFS(구조_변수!$B:$B,$A24,구조_변수!$J:$J,"연결"))))</f>
        <v/>
      </c>
      <c r="R24" s="295" t="inlineStr">
        <is>
          <t>KOTI 원단위</t>
        </is>
      </c>
    </row>
    <row r="25">
      <c r="A25" s="295" t="inlineStr">
        <is>
          <t>4-2b</t>
        </is>
      </c>
      <c r="B25" s="295" t="inlineStr">
        <is>
          <t>제4절 피해자·주위</t>
        </is>
      </c>
      <c r="C25" s="295" t="inlineStr">
        <is>
          <t>중독자 본인 고통 PGS</t>
        </is>
      </c>
      <c r="D25" s="295" t="inlineStr">
        <is>
          <t>중독 PGS</t>
        </is>
      </c>
      <c r="E25" s="295" t="inlineStr">
        <is>
          <t>PGS</t>
        </is>
      </c>
      <c r="F25" s="295" t="inlineStr">
        <is>
          <t>연간 총액</t>
        </is>
      </c>
      <c r="G25" s="295" t="inlineStr">
        <is>
          <t>N* 중 의존 상태 인원</t>
        </is>
      </c>
      <c r="H25" s="295" t="inlineStr">
        <is>
          <t>예</t>
        </is>
      </c>
      <c r="I25" s="296">
        <f>IF(구조_스위치!$D$4="포함","예",IF(구조_스위치!$D$4="제외","아니오","결정 대기"))</f>
        <v/>
      </c>
      <c r="J25" s="295" t="inlineStr">
        <is>
          <t>아니오</t>
        </is>
      </c>
      <c r="K25" s="295" t="inlineStr">
        <is>
          <t>아니오</t>
        </is>
      </c>
      <c r="L25" s="295" t="inlineStr">
        <is>
          <t>제4절 소계</t>
        </is>
      </c>
      <c r="M25" s="295" t="inlineStr">
        <is>
          <t>S3</t>
        </is>
      </c>
      <c r="N25" s="297" t="inlineStr">
        <is>
          <t>N</t>
        </is>
      </c>
      <c r="O25" s="298">
        <f>COUNTIF(구조_변수!$B:$B,$A25)</f>
        <v/>
      </c>
      <c r="P25" s="298">
        <f>COUNTIFS(구조_변수!$B:$B,$A25,구조_변수!$J:$J,"미입력")</f>
        <v/>
      </c>
      <c r="Q25" s="299">
        <f>IF(O25=0,"-",IF(O25-COUNTIFS(구조_변수!$B:$B,$A25,구조_변수!$J:$J,"연결")=0,"연결만",(O25-P25-COUNTIFS(구조_변수!$B:$B,$A25,구조_변수!$J:$J,"연결"))/(O25-COUNTIFS(구조_변수!$B:$B,$A25,구조_변수!$J:$J,"연결"))))</f>
        <v/>
      </c>
      <c r="R25" s="295" t="inlineStr"/>
    </row>
    <row r="26">
      <c r="A26" s="295" t="inlineStr">
        <is>
          <t>4-3</t>
        </is>
      </c>
      <c r="B26" s="295" t="inlineStr">
        <is>
          <t>제4절 피해자·주위</t>
        </is>
      </c>
      <c r="C26" s="295" t="inlineStr">
        <is>
          <t>가족·주변인 케어</t>
        </is>
      </c>
      <c r="D26" s="295" t="inlineStr">
        <is>
          <t>가족·지역사회 파급</t>
        </is>
      </c>
      <c r="E26" s="295" t="inlineStr">
        <is>
          <t>IC</t>
        </is>
      </c>
      <c r="F26" s="295" t="inlineStr">
        <is>
          <t>연간 총액</t>
        </is>
      </c>
      <c r="G26" s="295" t="inlineStr">
        <is>
          <t>가족 수</t>
        </is>
      </c>
      <c r="H26" s="295" t="inlineStr">
        <is>
          <t>결정 필요</t>
        </is>
      </c>
      <c r="I26" s="295" t="inlineStr">
        <is>
          <t>예(산출 시)</t>
        </is>
      </c>
      <c r="J26" s="295" t="inlineStr">
        <is>
          <t>아니오</t>
        </is>
      </c>
      <c r="K26" s="295" t="inlineStr">
        <is>
          <t>아니오</t>
        </is>
      </c>
      <c r="L26" s="295" t="inlineStr">
        <is>
          <t>제4절 소계</t>
        </is>
      </c>
      <c r="M26" s="295" t="inlineStr"/>
      <c r="N26" s="297" t="inlineStr">
        <is>
          <t>R1</t>
        </is>
      </c>
      <c r="O26" s="298">
        <f>COUNTIF(구조_변수!$B:$B,$A26)</f>
        <v/>
      </c>
      <c r="P26" s="298">
        <f>COUNTIFS(구조_변수!$B:$B,$A26,구조_변수!$J:$J,"미입력")</f>
        <v/>
      </c>
      <c r="Q26" s="299">
        <f>IF(O26=0,"-",IF(O26-COUNTIFS(구조_변수!$B:$B,$A26,구조_변수!$J:$J,"연결")=0,"연결만",(O26-P26-COUNTIFS(구조_변수!$B:$B,$A26,구조_변수!$J:$J,"연결"))/(O26-COUNTIFS(구조_변수!$B:$B,$A26,구조_변수!$J:$J,"연결"))))</f>
        <v/>
      </c>
      <c r="R26" s="295" t="inlineStr">
        <is>
          <t>자료 없으면 정성 기술</t>
        </is>
      </c>
    </row>
    <row r="27">
      <c r="A27" s="293" t="inlineStr">
        <is>
          <t>제5절 기타</t>
        </is>
      </c>
      <c r="B27" s="294" t="n"/>
      <c r="C27" s="294" t="n"/>
      <c r="D27" s="294" t="n"/>
      <c r="E27" s="294" t="n"/>
      <c r="F27" s="294" t="n"/>
      <c r="G27" s="294" t="n"/>
      <c r="H27" s="294" t="n"/>
      <c r="I27" s="294" t="n"/>
      <c r="J27" s="294" t="n"/>
      <c r="K27" s="294" t="n"/>
      <c r="L27" s="294" t="n"/>
      <c r="M27" s="294" t="n"/>
      <c r="N27" s="294" t="n"/>
      <c r="O27" s="294" t="n"/>
      <c r="P27" s="294" t="n"/>
      <c r="Q27" s="294" t="n"/>
      <c r="R27" s="294" t="n"/>
    </row>
    <row r="28">
      <c r="A28" s="295" t="inlineStr">
        <is>
          <t>5-1</t>
        </is>
      </c>
      <c r="B28" s="295" t="inlineStr">
        <is>
          <t>제5절 기타</t>
        </is>
      </c>
      <c r="C28" s="295" t="inlineStr">
        <is>
          <t>예방·홍보·R&amp;D 예산</t>
        </is>
      </c>
      <c r="D28" s="295" t="inlineStr">
        <is>
          <t>없음(신설)</t>
        </is>
      </c>
      <c r="E28" s="295" t="inlineStr">
        <is>
          <t>DC</t>
        </is>
      </c>
      <c r="F28" s="295" t="inlineStr">
        <is>
          <t>연간 총액</t>
        </is>
      </c>
      <c r="G28" s="295" t="inlineStr">
        <is>
          <t>해당 없음</t>
        </is>
      </c>
      <c r="H28" s="295" t="inlineStr">
        <is>
          <t>해당 없음</t>
        </is>
      </c>
      <c r="I28" s="295" t="inlineStr">
        <is>
          <t>예</t>
        </is>
      </c>
      <c r="J28" s="295" t="inlineStr">
        <is>
          <t>아니오</t>
        </is>
      </c>
      <c r="K28" s="295" t="inlineStr">
        <is>
          <t>아니오</t>
        </is>
      </c>
      <c r="L28" s="295" t="inlineStr">
        <is>
          <t>제5절 소계</t>
        </is>
      </c>
      <c r="M28" s="295" t="inlineStr"/>
      <c r="N28" s="297" t="inlineStr">
        <is>
          <t>N</t>
        </is>
      </c>
      <c r="O28" s="298">
        <f>COUNTIF(구조_변수!$B:$B,$A28)</f>
        <v/>
      </c>
      <c r="P28" s="298">
        <f>COUNTIFS(구조_변수!$B:$B,$A28,구조_변수!$J:$J,"미입력")</f>
        <v/>
      </c>
      <c r="Q28" s="299">
        <f>IF(O28=0,"-",IF(O28-COUNTIFS(구조_변수!$B:$B,$A28,구조_변수!$J:$J,"연결")=0,"연결만",(O28-P28-COUNTIFS(구조_변수!$B:$B,$A28,구조_변수!$J:$J,"연결"))/(O28-COUNTIFS(구조_변수!$B:$B,$A28,구조_변수!$J:$J,"연결"))))</f>
        <v/>
      </c>
      <c r="R28" s="295" t="inlineStr">
        <is>
          <t>제1절 3·제3절과 겹치는 사업 제외</t>
        </is>
      </c>
    </row>
    <row r="29">
      <c r="A29" s="295" t="inlineStr">
        <is>
          <t>5-2a</t>
        </is>
      </c>
      <c r="B29" s="295" t="inlineStr">
        <is>
          <t>제5절 기타</t>
        </is>
      </c>
      <c r="C29" s="295" t="inlineStr">
        <is>
          <t>범죄 공포(WTP)</t>
        </is>
      </c>
      <c r="D29" s="295" t="inlineStr">
        <is>
          <t>사회혼란 · 범죄 공포</t>
        </is>
      </c>
      <c r="E29" s="295" t="inlineStr">
        <is>
          <t>IC</t>
        </is>
      </c>
      <c r="F29" s="295" t="inlineStr">
        <is>
          <t>연간 총액</t>
        </is>
      </c>
      <c r="G29" s="295" t="inlineStr">
        <is>
          <t>전국 성인 인구</t>
        </is>
      </c>
      <c r="H29" s="295" t="inlineStr">
        <is>
          <t>해당 없음</t>
        </is>
      </c>
      <c r="I29" s="296">
        <f>IF(구조_스위치!$D$6="산출","예",IF(구조_스위치!$D$6="정성 기술","아니오","결정 대기"))</f>
        <v/>
      </c>
      <c r="J29" s="295" t="inlineStr">
        <is>
          <t>아니오</t>
        </is>
      </c>
      <c r="K29" s="295" t="inlineStr">
        <is>
          <t>아니오</t>
        </is>
      </c>
      <c r="L29" s="295" t="inlineStr">
        <is>
          <t>제5절 소계</t>
        </is>
      </c>
      <c r="M29" s="295" t="inlineStr">
        <is>
          <t>S5</t>
        </is>
      </c>
      <c r="N29" s="297" t="inlineStr">
        <is>
          <t>R1</t>
        </is>
      </c>
      <c r="O29" s="298">
        <f>COUNTIF(구조_변수!$B:$B,$A29)</f>
        <v/>
      </c>
      <c r="P29" s="298">
        <f>COUNTIFS(구조_변수!$B:$B,$A29,구조_변수!$J:$J,"미입력")</f>
        <v/>
      </c>
      <c r="Q29" s="299">
        <f>IF(O29=0,"-",IF(O29-COUNTIFS(구조_변수!$B:$B,$A29,구조_변수!$J:$J,"연결")=0,"연결만",(O29-P29-COUNTIFS(구조_변수!$B:$B,$A29,구조_변수!$J:$J,"연결"))/(O29-COUNTIFS(구조_변수!$B:$B,$A29,구조_변수!$J:$J,"연결"))))</f>
        <v/>
      </c>
      <c r="R29" s="295" t="inlineStr"/>
    </row>
    <row r="30">
      <c r="A30" s="295" t="inlineStr">
        <is>
          <t>5-2b</t>
        </is>
      </c>
      <c r="B30" s="295" t="inlineStr">
        <is>
          <t>제5절 기타</t>
        </is>
      </c>
      <c r="C30" s="295" t="inlineStr">
        <is>
          <t>방어적 행동</t>
        </is>
      </c>
      <c r="D30" s="295" t="inlineStr">
        <is>
          <t>사회혼란 · 방어행동</t>
        </is>
      </c>
      <c r="E30" s="295" t="inlineStr">
        <is>
          <t>IC</t>
        </is>
      </c>
      <c r="F30" s="295" t="inlineStr">
        <is>
          <t>연간 총액</t>
        </is>
      </c>
      <c r="G30" s="295" t="inlineStr">
        <is>
          <t>전국 성인 인구</t>
        </is>
      </c>
      <c r="H30" s="295" t="inlineStr">
        <is>
          <t>해당 없음</t>
        </is>
      </c>
      <c r="I30" s="296">
        <f>IF(구조_스위치!$D$6="산출","예",IF(구조_스위치!$D$6="정성 기술","아니오","결정 대기"))</f>
        <v/>
      </c>
      <c r="J30" s="295" t="inlineStr">
        <is>
          <t>아니오</t>
        </is>
      </c>
      <c r="K30" s="295" t="inlineStr">
        <is>
          <t>아니오</t>
        </is>
      </c>
      <c r="L30" s="295" t="inlineStr">
        <is>
          <t>제5절 소계</t>
        </is>
      </c>
      <c r="M30" s="295" t="inlineStr">
        <is>
          <t>S5</t>
        </is>
      </c>
      <c r="N30" s="297" t="inlineStr">
        <is>
          <t>R1</t>
        </is>
      </c>
      <c r="O30" s="298">
        <f>COUNTIF(구조_변수!$B:$B,$A30)</f>
        <v/>
      </c>
      <c r="P30" s="298">
        <f>COUNTIFS(구조_변수!$B:$B,$A30,구조_변수!$J:$J,"미입력")</f>
        <v/>
      </c>
      <c r="Q30" s="299">
        <f>IF(O30=0,"-",IF(O30-COUNTIFS(구조_변수!$B:$B,$A30,구조_변수!$J:$J,"연결")=0,"연결만",(O30-P30-COUNTIFS(구조_변수!$B:$B,$A30,구조_변수!$J:$J,"연결"))/(O30-COUNTIFS(구조_변수!$B:$B,$A30,구조_변수!$J:$J,"연결"))))</f>
        <v/>
      </c>
      <c r="R30" s="295" t="inlineStr"/>
    </row>
    <row r="31">
      <c r="A31" s="293" t="inlineStr">
        <is>
          <t>제6절 종합</t>
        </is>
      </c>
      <c r="B31" s="294" t="n"/>
      <c r="C31" s="294" t="n"/>
      <c r="D31" s="294" t="n"/>
      <c r="E31" s="294" t="n"/>
      <c r="F31" s="294" t="n"/>
      <c r="G31" s="294" t="n"/>
      <c r="H31" s="294" t="n"/>
      <c r="I31" s="294" t="n"/>
      <c r="J31" s="294" t="n"/>
      <c r="K31" s="294" t="n"/>
      <c r="L31" s="294" t="n"/>
      <c r="M31" s="294" t="n"/>
      <c r="N31" s="294" t="n"/>
      <c r="O31" s="294" t="n"/>
      <c r="P31" s="294" t="n"/>
      <c r="Q31" s="294" t="n"/>
      <c r="R31" s="294" t="n"/>
    </row>
    <row r="32">
      <c r="A32" s="295" t="inlineStr">
        <is>
          <t>6-1</t>
        </is>
      </c>
      <c r="B32" s="295" t="inlineStr">
        <is>
          <t>제6절 종합</t>
        </is>
      </c>
      <c r="C32" s="295" t="inlineStr">
        <is>
          <t>N* 실질 사용자 수</t>
        </is>
      </c>
      <c r="D32" s="295" t="inlineStr">
        <is>
          <t>총괄식</t>
        </is>
      </c>
      <c r="E32" s="295" t="inlineStr">
        <is>
          <t>지표</t>
        </is>
      </c>
      <c r="F32" s="295" t="inlineStr">
        <is>
          <t>명</t>
        </is>
      </c>
      <c r="G32" s="295" t="inlineStr">
        <is>
          <t>검거 인원</t>
        </is>
      </c>
      <c r="H32" s="295" t="inlineStr">
        <is>
          <t>예</t>
        </is>
      </c>
      <c r="I32" s="295" t="inlineStr">
        <is>
          <t>해당 없음</t>
        </is>
      </c>
      <c r="J32" s="295" t="inlineStr">
        <is>
          <t>해당 없음</t>
        </is>
      </c>
      <c r="K32" s="295" t="inlineStr">
        <is>
          <t>해당 없음</t>
        </is>
      </c>
      <c r="L32" s="295" t="inlineStr">
        <is>
          <t>1인당 비용 분모</t>
        </is>
      </c>
      <c r="M32" s="295" t="inlineStr"/>
      <c r="N32" s="297" t="inlineStr">
        <is>
          <t>A</t>
        </is>
      </c>
      <c r="O32" s="298">
        <f>COUNTIF(구조_변수!$B:$B,$A32)</f>
        <v/>
      </c>
      <c r="P32" s="298">
        <f>COUNTIFS(구조_변수!$B:$B,$A32,구조_변수!$J:$J,"미입력")</f>
        <v/>
      </c>
      <c r="Q32" s="299">
        <f>IF(O32=0,"-",IF(O32-COUNTIFS(구조_변수!$B:$B,$A32,구조_변수!$J:$J,"연결")=0,"연결만",(O32-P32-COUNTIFS(구조_변수!$B:$B,$A32,구조_변수!$J:$J,"연결"))/(O32-COUNTIFS(구조_변수!$B:$B,$A32,구조_변수!$J:$J,"연결"))))</f>
        <v/>
      </c>
      <c r="R32" s="295" t="inlineStr">
        <is>
          <t>λ 1·10·28.57 민감도</t>
        </is>
      </c>
    </row>
    <row r="33">
      <c r="A33" s="295" t="inlineStr">
        <is>
          <t>6-2</t>
        </is>
      </c>
      <c r="B33" s="295" t="inlineStr">
        <is>
          <t>제6절 종합</t>
        </is>
      </c>
      <c r="C33" s="295" t="inlineStr">
        <is>
          <t>λ 10 비교·GDP 대비 비율</t>
        </is>
      </c>
      <c r="D33" s="295" t="inlineStr">
        <is>
          <t>기대효과</t>
        </is>
      </c>
      <c r="E33" s="295" t="inlineStr">
        <is>
          <t>지표</t>
        </is>
      </c>
      <c r="F33" s="295" t="inlineStr">
        <is>
          <t>비율 · 원</t>
        </is>
      </c>
      <c r="G33" s="295" t="inlineStr">
        <is>
          <t>해당 없음</t>
        </is>
      </c>
      <c r="H33" s="295" t="inlineStr">
        <is>
          <t>λ 10 기준</t>
        </is>
      </c>
      <c r="I33" s="295" t="inlineStr">
        <is>
          <t>해당 없음</t>
        </is>
      </c>
      <c r="J33" s="295" t="inlineStr">
        <is>
          <t>해당 없음</t>
        </is>
      </c>
      <c r="K33" s="295" t="inlineStr">
        <is>
          <t>해당 없음</t>
        </is>
      </c>
      <c r="L33" s="295" t="inlineStr">
        <is>
          <t>제6절 표</t>
        </is>
      </c>
      <c r="M33" s="295" t="inlineStr"/>
      <c r="N33" s="297" t="inlineStr">
        <is>
          <t>N</t>
        </is>
      </c>
      <c r="O33" s="298">
        <f>COUNTIF(구조_변수!$B:$B,$A33)</f>
        <v/>
      </c>
      <c r="P33" s="298">
        <f>COUNTIFS(구조_변수!$B:$B,$A33,구조_변수!$J:$J,"미입력")</f>
        <v/>
      </c>
      <c r="Q33" s="299">
        <f>IF(O33=0,"-",IF(O33-COUNTIFS(구조_변수!$B:$B,$A33,구조_변수!$J:$J,"연결")=0,"연결만",(O33-P33-COUNTIFS(구조_변수!$B:$B,$A33,구조_변수!$J:$J,"연결"))/(O33-COUNTIFS(구조_변수!$B:$B,$A33,구조_변수!$J:$J,"연결"))))</f>
        <v/>
      </c>
      <c r="R33" s="295" t="inlineStr">
        <is>
          <t>박성수(2018) 2016년 2조 2,389억 원과 비교</t>
        </is>
      </c>
    </row>
    <row r="34">
      <c r="A34" s="295" t="inlineStr">
        <is>
          <t>6-3</t>
        </is>
      </c>
      <c r="B34" s="295" t="inlineStr">
        <is>
          <t>제6절 종합</t>
        </is>
      </c>
      <c r="C34" s="295" t="inlineStr">
        <is>
          <t>연간 총액 ↔ 생애 누적 분리표</t>
        </is>
      </c>
      <c r="D34" s="295" t="inlineStr">
        <is>
          <t>없음</t>
        </is>
      </c>
      <c r="E34" s="295" t="inlineStr">
        <is>
          <t>표</t>
        </is>
      </c>
      <c r="F34" s="295" t="inlineStr">
        <is>
          <t>해당 없음</t>
        </is>
      </c>
      <c r="G34" s="295" t="inlineStr">
        <is>
          <t>해당 없음</t>
        </is>
      </c>
      <c r="H34" s="295" t="inlineStr">
        <is>
          <t>해당 없음</t>
        </is>
      </c>
      <c r="I34" s="295" t="inlineStr">
        <is>
          <t>해당 없음</t>
        </is>
      </c>
      <c r="J34" s="295" t="inlineStr">
        <is>
          <t>해당 없음</t>
        </is>
      </c>
      <c r="K34" s="295" t="inlineStr">
        <is>
          <t>해당 없음</t>
        </is>
      </c>
      <c r="L34" s="295" t="inlineStr">
        <is>
          <t>제6절 표</t>
        </is>
      </c>
      <c r="M34" s="295" t="inlineStr"/>
      <c r="N34" s="297" t="inlineStr">
        <is>
          <t>N</t>
        </is>
      </c>
      <c r="O34" s="298">
        <f>COUNTIF(구조_변수!$B:$B,$A34)</f>
        <v/>
      </c>
      <c r="P34" s="298">
        <f>COUNTIFS(구조_변수!$B:$B,$A34,구조_변수!$J:$J,"미입력")</f>
        <v/>
      </c>
      <c r="Q34" s="299">
        <f>IF(O34=0,"-",IF(O34-COUNTIFS(구조_변수!$B:$B,$A34,구조_변수!$J:$J,"연결")=0,"연결만",(O34-P34-COUNTIFS(구조_변수!$B:$B,$A34,구조_변수!$J:$J,"연결"))/(O34-COUNTIFS(구조_변수!$B:$B,$A34,구조_변수!$J:$J,"연결"))))</f>
        <v/>
      </c>
      <c r="R34" s="295" t="inlineStr">
        <is>
          <t>값 없음(표 틀)</t>
        </is>
      </c>
    </row>
    <row r="35">
      <c r="A35" s="293" t="inlineStr">
        <is>
          <t>비용편익 ΔC</t>
        </is>
      </c>
      <c r="B35" s="294" t="n"/>
      <c r="C35" s="294" t="n"/>
      <c r="D35" s="294" t="n"/>
      <c r="E35" s="294" t="n"/>
      <c r="F35" s="294" t="n"/>
      <c r="G35" s="294" t="n"/>
      <c r="H35" s="294" t="n"/>
      <c r="I35" s="294" t="n"/>
      <c r="J35" s="294" t="n"/>
      <c r="K35" s="294" t="n"/>
      <c r="L35" s="294" t="n"/>
      <c r="M35" s="294" t="n"/>
      <c r="N35" s="294" t="n"/>
      <c r="O35" s="294" t="n"/>
      <c r="P35" s="294" t="n"/>
      <c r="Q35" s="294" t="n"/>
      <c r="R35" s="294" t="n"/>
    </row>
    <row r="36">
      <c r="A36" s="295" t="inlineStr">
        <is>
          <t>CB-1</t>
        </is>
      </c>
      <c r="B36" s="295" t="inlineStr">
        <is>
          <t>비용편익 ΔC</t>
        </is>
      </c>
      <c r="C36" s="295" t="inlineStr">
        <is>
          <t>UC-07 재활교육 1인시당 원가</t>
        </is>
      </c>
      <c r="D36" s="295" t="inlineStr">
        <is>
          <t>C2 프로그램</t>
        </is>
      </c>
      <c r="E36" s="295" t="inlineStr">
        <is>
          <t>ΔC</t>
        </is>
      </c>
      <c r="F36" s="295" t="inlineStr">
        <is>
          <t>원/인시</t>
        </is>
      </c>
      <c r="G36" s="295" t="inlineStr">
        <is>
          <t>이수 인시</t>
        </is>
      </c>
      <c r="H36" s="295" t="inlineStr">
        <is>
          <t>해당 없음</t>
        </is>
      </c>
      <c r="I36" s="295" t="inlineStr">
        <is>
          <t>해당 없음</t>
        </is>
      </c>
      <c r="J36" s="295" t="inlineStr">
        <is>
          <t>해당 없음</t>
        </is>
      </c>
      <c r="K36" s="295" t="inlineStr">
        <is>
          <t>해당 없음</t>
        </is>
      </c>
      <c r="L36" s="295" t="inlineStr">
        <is>
          <t>UC-06</t>
        </is>
      </c>
      <c r="M36" s="295" t="inlineStr"/>
      <c r="N36" s="297" t="inlineStr">
        <is>
          <t>A</t>
        </is>
      </c>
      <c r="O36" s="298">
        <f>COUNTIF(구조_변수!$B:$B,$A36)</f>
        <v/>
      </c>
      <c r="P36" s="298">
        <f>COUNTIFS(구조_변수!$B:$B,$A36,구조_변수!$J:$J,"미입력")</f>
        <v/>
      </c>
      <c r="Q36" s="299">
        <f>IF(O36=0,"-",IF(O36-COUNTIFS(구조_변수!$B:$B,$A36,구조_변수!$J:$J,"연결")=0,"연결만",(O36-P36-COUNTIFS(구조_변수!$B:$B,$A36,구조_변수!$J:$J,"연결"))/(O36-COUNTIFS(구조_변수!$B:$B,$A36,구조_변수!$J:$J,"연결"))))</f>
        <v/>
      </c>
      <c r="R36" s="295" t="inlineStr"/>
    </row>
    <row r="37">
      <c r="A37" s="295" t="inlineStr">
        <is>
          <t>CB-2</t>
        </is>
      </c>
      <c r="B37" s="295" t="inlineStr">
        <is>
          <t>비용편익 ΔC</t>
        </is>
      </c>
      <c r="C37" s="295" t="inlineStr">
        <is>
          <t>UC-06 과정유형별 1인당 원가</t>
        </is>
      </c>
      <c r="D37" s="295" t="inlineStr">
        <is>
          <t>C2 프로그램</t>
        </is>
      </c>
      <c r="E37" s="295" t="inlineStr">
        <is>
          <t>ΔC</t>
        </is>
      </c>
      <c r="F37" s="295" t="inlineStr">
        <is>
          <t>원/인</t>
        </is>
      </c>
      <c r="G37" s="295" t="inlineStr">
        <is>
          <t>과정별 이수 인원</t>
        </is>
      </c>
      <c r="H37" s="295" t="inlineStr">
        <is>
          <t>해당 없음</t>
        </is>
      </c>
      <c r="I37" s="295" t="inlineStr">
        <is>
          <t>해당 없음</t>
        </is>
      </c>
      <c r="J37" s="295" t="inlineStr">
        <is>
          <t>해당 없음</t>
        </is>
      </c>
      <c r="K37" s="295" t="inlineStr">
        <is>
          <t>해당 없음</t>
        </is>
      </c>
      <c r="L37" s="295" t="inlineStr">
        <is>
          <t>ΔC</t>
        </is>
      </c>
      <c r="M37" s="295" t="inlineStr"/>
      <c r="N37" s="297" t="inlineStr">
        <is>
          <t>C</t>
        </is>
      </c>
      <c r="O37" s="298">
        <f>COUNTIF(구조_변수!$B:$B,$A37)</f>
        <v/>
      </c>
      <c r="P37" s="298">
        <f>COUNTIFS(구조_변수!$B:$B,$A37,구조_변수!$J:$J,"미입력")</f>
        <v/>
      </c>
      <c r="Q37" s="299">
        <f>IF(O37=0,"-",IF(O37-COUNTIFS(구조_변수!$B:$B,$A37,구조_변수!$J:$J,"연결")=0,"연결만",(O37-P37-COUNTIFS(구조_변수!$B:$B,$A37,구조_변수!$J:$J,"연결"))/(O37-COUNTIFS(구조_변수!$B:$B,$A37,구조_변수!$J:$J,"연결"))))</f>
        <v/>
      </c>
      <c r="R37" s="295" t="inlineStr">
        <is>
          <t>분모를 개시 인원으로 바꿀지 검토</t>
        </is>
      </c>
    </row>
    <row r="38">
      <c r="A38" s="295" t="inlineStr">
        <is>
          <t>CB-3</t>
        </is>
      </c>
      <c r="B38" s="295" t="inlineStr">
        <is>
          <t>비용편익 ΔC</t>
        </is>
      </c>
      <c r="C38" s="295" t="inlineStr">
        <is>
          <t>UC-10 치료개입 원가</t>
        </is>
      </c>
      <c r="D38" s="295" t="inlineStr">
        <is>
          <t>C3 치료</t>
        </is>
      </c>
      <c r="E38" s="295" t="inlineStr">
        <is>
          <t>ΔC</t>
        </is>
      </c>
      <c r="F38" s="295" t="inlineStr">
        <is>
          <t>원/인·년</t>
        </is>
      </c>
      <c r="G38" s="295" t="inlineStr">
        <is>
          <t>치료개입 대상 인원</t>
        </is>
      </c>
      <c r="H38" s="295" t="inlineStr">
        <is>
          <t>해당 없음</t>
        </is>
      </c>
      <c r="I38" s="295" t="inlineStr">
        <is>
          <t>해당 없음</t>
        </is>
      </c>
      <c r="J38" s="295" t="inlineStr">
        <is>
          <t>해당 없음</t>
        </is>
      </c>
      <c r="K38" s="295" t="inlineStr">
        <is>
          <t>해당 없음</t>
        </is>
      </c>
      <c r="L38" s="295" t="inlineStr">
        <is>
          <t>ΔC</t>
        </is>
      </c>
      <c r="M38" s="295" t="inlineStr"/>
      <c r="N38" s="297" t="inlineStr">
        <is>
          <t>R1</t>
        </is>
      </c>
      <c r="O38" s="298">
        <f>COUNTIF(구조_변수!$B:$B,$A38)</f>
        <v/>
      </c>
      <c r="P38" s="298">
        <f>COUNTIFS(구조_변수!$B:$B,$A38,구조_변수!$J:$J,"미입력")</f>
        <v/>
      </c>
      <c r="Q38" s="299">
        <f>IF(O38=0,"-",IF(O38-COUNTIFS(구조_변수!$B:$B,$A38,구조_변수!$J:$J,"연결")=0,"연결만",(O38-P38-COUNTIFS(구조_변수!$B:$B,$A38,구조_변수!$J:$J,"연결"))/(O38-COUNTIFS(구조_변수!$B:$B,$A38,구조_변수!$J:$J,"연결"))))</f>
        <v/>
      </c>
      <c r="R38" s="295" t="inlineStr"/>
    </row>
    <row r="39">
      <c r="A39" s="295" t="inlineStr">
        <is>
          <t>CB-4</t>
        </is>
      </c>
      <c r="B39" s="295" t="inlineStr">
        <is>
          <t>비용편익 ΔC</t>
        </is>
      </c>
      <c r="C39" s="295" t="inlineStr">
        <is>
          <t>UC-12 사후관리 원가</t>
        </is>
      </c>
      <c r="D39" s="295" t="inlineStr">
        <is>
          <t>없음(신설)</t>
        </is>
      </c>
      <c r="E39" s="295" t="inlineStr">
        <is>
          <t>ΔC</t>
        </is>
      </c>
      <c r="F39" s="295" t="inlineStr">
        <is>
          <t>원/인·년</t>
        </is>
      </c>
      <c r="G39" s="295" t="inlineStr">
        <is>
          <t>치료보호 지원 인원</t>
        </is>
      </c>
      <c r="H39" s="295" t="inlineStr">
        <is>
          <t>해당 없음</t>
        </is>
      </c>
      <c r="I39" s="295" t="inlineStr">
        <is>
          <t>해당 없음</t>
        </is>
      </c>
      <c r="J39" s="295" t="inlineStr">
        <is>
          <t>해당 없음</t>
        </is>
      </c>
      <c r="K39" s="295" t="inlineStr">
        <is>
          <t>해당 없음</t>
        </is>
      </c>
      <c r="L39" s="295" t="inlineStr">
        <is>
          <t>ΔC (÷(1+r)^t)</t>
        </is>
      </c>
      <c r="M39" s="295" t="inlineStr"/>
      <c r="N39" s="297" t="inlineStr">
        <is>
          <t>B</t>
        </is>
      </c>
      <c r="O39" s="298">
        <f>COUNTIF(구조_변수!$B:$B,$A39)</f>
        <v/>
      </c>
      <c r="P39" s="298">
        <f>COUNTIFS(구조_변수!$B:$B,$A39,구조_변수!$J:$J,"미입력")</f>
        <v/>
      </c>
      <c r="Q39" s="299">
        <f>IF(O39=0,"-",IF(O39-COUNTIFS(구조_변수!$B:$B,$A39,구조_변수!$J:$J,"연결")=0,"연결만",(O39-P39-COUNTIFS(구조_변수!$B:$B,$A39,구조_변수!$J:$J,"연결"))/(O39-COUNTIFS(구조_변수!$B:$B,$A39,구조_변수!$J:$J,"연결"))))</f>
        <v/>
      </c>
      <c r="R39" s="295" t="inlineStr">
        <is>
          <t>1-1b와 같은 자료</t>
        </is>
      </c>
    </row>
    <row r="40">
      <c r="A40" s="295" t="inlineStr">
        <is>
          <t>CB-5</t>
        </is>
      </c>
      <c r="B40" s="295" t="inlineStr">
        <is>
          <t>비용편익 ΔC</t>
        </is>
      </c>
      <c r="C40" s="295" t="inlineStr">
        <is>
          <t>ΔM × UC-02 수용기간 차이</t>
        </is>
      </c>
      <c r="D40" s="295" t="inlineStr">
        <is>
          <t>C1 수용(제외)</t>
        </is>
      </c>
      <c r="E40" s="295" t="inlineStr">
        <is>
          <t>ΔC</t>
        </is>
      </c>
      <c r="F40" s="295" t="inlineStr">
        <is>
          <t>원/인</t>
        </is>
      </c>
      <c r="G40" s="295" t="inlineStr">
        <is>
          <t>이수·미이수 수용기간 차이</t>
        </is>
      </c>
      <c r="H40" s="295" t="inlineStr">
        <is>
          <t>해당 없음</t>
        </is>
      </c>
      <c r="I40" s="295" t="inlineStr">
        <is>
          <t>해당 없음</t>
        </is>
      </c>
      <c r="J40" s="295" t="inlineStr">
        <is>
          <t>해당 없음</t>
        </is>
      </c>
      <c r="K40" s="295" t="inlineStr">
        <is>
          <t>해당 없음</t>
        </is>
      </c>
      <c r="L40" s="295" t="inlineStr">
        <is>
          <t>ΔC</t>
        </is>
      </c>
      <c r="M40" s="295" t="inlineStr"/>
      <c r="N40" s="297" t="inlineStr">
        <is>
          <t>C</t>
        </is>
      </c>
      <c r="O40" s="298">
        <f>COUNTIF(구조_변수!$B:$B,$A40)</f>
        <v/>
      </c>
      <c r="P40" s="298">
        <f>COUNTIFS(구조_변수!$B:$B,$A40,구조_변수!$J:$J,"미입력")</f>
        <v/>
      </c>
      <c r="Q40" s="299">
        <f>IF(O40=0,"-",IF(O40-COUNTIFS(구조_변수!$B:$B,$A40,구조_변수!$J:$J,"연결")=0,"연결만",(O40-P40-COUNTIFS(구조_변수!$B:$B,$A40,구조_변수!$J:$J,"연결"))/(O40-COUNTIFS(구조_변수!$B:$B,$A40,구조_변수!$J:$J,"연결"))))</f>
        <v/>
      </c>
      <c r="R40" s="295" t="inlineStr"/>
    </row>
    <row r="41">
      <c r="A41" s="293" t="inlineStr">
        <is>
          <t>비용편익 B</t>
        </is>
      </c>
      <c r="B41" s="294" t="n"/>
      <c r="C41" s="294" t="n"/>
      <c r="D41" s="294" t="n"/>
      <c r="E41" s="294" t="n"/>
      <c r="F41" s="294" t="n"/>
      <c r="G41" s="294" t="n"/>
      <c r="H41" s="294" t="n"/>
      <c r="I41" s="294" t="n"/>
      <c r="J41" s="294" t="n"/>
      <c r="K41" s="294" t="n"/>
      <c r="L41" s="294" t="n"/>
      <c r="M41" s="294" t="n"/>
      <c r="N41" s="294" t="n"/>
      <c r="O41" s="294" t="n"/>
      <c r="P41" s="294" t="n"/>
      <c r="Q41" s="294" t="n"/>
      <c r="R41" s="294" t="n"/>
    </row>
    <row r="42">
      <c r="A42" s="295" t="inlineStr">
        <is>
          <t>CB-6</t>
        </is>
      </c>
      <c r="B42" s="295" t="inlineStr">
        <is>
          <t>비용편익 B</t>
        </is>
      </c>
      <c r="C42" s="295" t="inlineStr">
        <is>
          <t>r0 · r1 · Δr</t>
        </is>
      </c>
      <c r="D42" s="295" t="inlineStr">
        <is>
          <t>B2 재범감소</t>
        </is>
      </c>
      <c r="E42" s="295" t="inlineStr">
        <is>
          <t>B</t>
        </is>
      </c>
      <c r="F42" s="295" t="inlineStr">
        <is>
          <t>비율</t>
        </is>
      </c>
      <c r="G42" s="295" t="inlineStr">
        <is>
          <t>출소 코호트</t>
        </is>
      </c>
      <c r="H42" s="295" t="inlineStr">
        <is>
          <t>해당 없음</t>
        </is>
      </c>
      <c r="I42" s="295" t="inlineStr">
        <is>
          <t>해당 없음</t>
        </is>
      </c>
      <c r="J42" s="295" t="inlineStr">
        <is>
          <t>해당 없음</t>
        </is>
      </c>
      <c r="K42" s="295" t="inlineStr">
        <is>
          <t>해당 없음</t>
        </is>
      </c>
      <c r="L42" s="295" t="inlineStr">
        <is>
          <t>B</t>
        </is>
      </c>
      <c r="M42" s="295" t="inlineStr"/>
      <c r="N42" s="297" t="inlineStr">
        <is>
          <t>B</t>
        </is>
      </c>
      <c r="O42" s="298">
        <f>COUNTIF(구조_변수!$B:$B,$A42)</f>
        <v/>
      </c>
      <c r="P42" s="298">
        <f>COUNTIFS(구조_변수!$B:$B,$A42,구조_변수!$J:$J,"미입력")</f>
        <v/>
      </c>
      <c r="Q42" s="299">
        <f>IF(O42=0,"-",IF(O42-COUNTIFS(구조_변수!$B:$B,$A42,구조_변수!$J:$J,"연결")=0,"연결만",(O42-P42-COUNTIFS(구조_변수!$B:$B,$A42,구조_변수!$J:$J,"연결"))/(O42-COUNTIFS(구조_변수!$B:$B,$A42,구조_변수!$J:$J,"연결"))))</f>
        <v/>
      </c>
      <c r="R42" s="295" t="inlineStr">
        <is>
          <t>서식9 오면 문헌값 교체</t>
        </is>
      </c>
    </row>
    <row r="43">
      <c r="A43" s="295" t="inlineStr">
        <is>
          <t>CB-7</t>
        </is>
      </c>
      <c r="B43" s="295" t="inlineStr">
        <is>
          <t>비용편익 B</t>
        </is>
      </c>
      <c r="C43" s="295" t="inlineStr">
        <is>
          <t>hₜ 경과기간별 재복역 → D</t>
        </is>
      </c>
      <c r="D43" s="295" t="inlineStr">
        <is>
          <t>없음(신설)</t>
        </is>
      </c>
      <c r="E43" s="295" t="inlineStr">
        <is>
          <t>B</t>
        </is>
      </c>
      <c r="F43" s="295" t="inlineStr">
        <is>
          <t>계수</t>
        </is>
      </c>
      <c r="G43" s="295" t="inlineStr">
        <is>
          <t>출소 코호트</t>
        </is>
      </c>
      <c r="H43" s="295" t="inlineStr">
        <is>
          <t>해당 없음</t>
        </is>
      </c>
      <c r="I43" s="295" t="inlineStr">
        <is>
          <t>해당 없음</t>
        </is>
      </c>
      <c r="J43" s="295" t="inlineStr">
        <is>
          <t>해당 없음</t>
        </is>
      </c>
      <c r="K43" s="295" t="inlineStr">
        <is>
          <t>해당 없음</t>
        </is>
      </c>
      <c r="L43" s="295" t="inlineStr">
        <is>
          <t>B</t>
        </is>
      </c>
      <c r="M43" s="295" t="inlineStr"/>
      <c r="N43" s="297" t="inlineStr">
        <is>
          <t>C</t>
        </is>
      </c>
      <c r="O43" s="298">
        <f>COUNTIF(구조_변수!$B:$B,$A43)</f>
        <v/>
      </c>
      <c r="P43" s="298">
        <f>COUNTIFS(구조_변수!$B:$B,$A43,구조_변수!$J:$J,"미입력")</f>
        <v/>
      </c>
      <c r="Q43" s="299">
        <f>IF(O43=0,"-",IF(O43-COUNTIFS(구조_변수!$B:$B,$A43,구조_변수!$J:$J,"연결")=0,"연결만",(O43-P43-COUNTIFS(구조_변수!$B:$B,$A43,구조_변수!$J:$J,"연결"))/(O43-COUNTIFS(구조_변수!$B:$B,$A43,구조_변수!$J:$J,"연결"))))</f>
        <v/>
      </c>
      <c r="R43" s="295" t="inlineStr"/>
    </row>
    <row r="44">
      <c r="A44" s="295" t="inlineStr">
        <is>
          <t>CB-8</t>
        </is>
      </c>
      <c r="B44" s="295" t="inlineStr">
        <is>
          <t>비용편익 B</t>
        </is>
      </c>
      <c r="C44" s="295" t="inlineStr">
        <is>
          <t>SCᵣ 형사사법분</t>
        </is>
      </c>
      <c r="D44" s="295" t="inlineStr">
        <is>
          <t>B2 재범 1건당 비용</t>
        </is>
      </c>
      <c r="E44" s="295" t="inlineStr">
        <is>
          <t>B</t>
        </is>
      </c>
      <c r="F44" s="295" t="inlineStr">
        <is>
          <t>원/건</t>
        </is>
      </c>
      <c r="G44" s="295" t="inlineStr">
        <is>
          <t>재복역 1건</t>
        </is>
      </c>
      <c r="H44" s="295" t="inlineStr">
        <is>
          <t>해당 없음</t>
        </is>
      </c>
      <c r="I44" s="295" t="inlineStr">
        <is>
          <t>해당 없음</t>
        </is>
      </c>
      <c r="J44" s="295" t="inlineStr">
        <is>
          <t>해당 없음</t>
        </is>
      </c>
      <c r="K44" s="295" t="inlineStr">
        <is>
          <t>해당 없음</t>
        </is>
      </c>
      <c r="L44" s="295" t="inlineStr">
        <is>
          <t>SCᵣ</t>
        </is>
      </c>
      <c r="M44" s="295" t="inlineStr"/>
      <c r="N44" s="297" t="inlineStr">
        <is>
          <t>A</t>
        </is>
      </c>
      <c r="O44" s="298">
        <f>COUNTIF(구조_변수!$B:$B,$A44)</f>
        <v/>
      </c>
      <c r="P44" s="298">
        <f>COUNTIFS(구조_변수!$B:$B,$A44,구조_변수!$J:$J,"미입력")</f>
        <v/>
      </c>
      <c r="Q44" s="299">
        <f>IF(O44=0,"-",IF(O44-COUNTIFS(구조_변수!$B:$B,$A44,구조_변수!$J:$J,"연결")=0,"연결만",(O44-P44-COUNTIFS(구조_변수!$B:$B,$A44,구조_변수!$J:$J,"연결"))/(O44-COUNTIFS(구조_변수!$B:$B,$A44,구조_변수!$J:$J,"연결"))))</f>
        <v/>
      </c>
      <c r="R44" s="295" t="inlineStr">
        <is>
          <t>제3절 결과로 대체</t>
        </is>
      </c>
    </row>
    <row r="45">
      <c r="A45" s="295" t="inlineStr">
        <is>
          <t>CB-9</t>
        </is>
      </c>
      <c r="B45" s="295" t="inlineStr">
        <is>
          <t>비용편익 B</t>
        </is>
      </c>
      <c r="C45" s="295" t="inlineStr">
        <is>
          <t>SCᵣ 비형사사법분</t>
        </is>
      </c>
      <c r="D45" s="295" t="inlineStr">
        <is>
          <t>B3 의료절감 · B4 생산성회복</t>
        </is>
      </c>
      <c r="E45" s="295" t="inlineStr">
        <is>
          <t>B</t>
        </is>
      </c>
      <c r="F45" s="295" t="inlineStr">
        <is>
          <t>원/건</t>
        </is>
      </c>
      <c r="G45" s="295" t="inlineStr">
        <is>
          <t>재복역 1건</t>
        </is>
      </c>
      <c r="H45" s="295" t="inlineStr">
        <is>
          <t>해당 없음</t>
        </is>
      </c>
      <c r="I45" s="295" t="inlineStr">
        <is>
          <t>해당 없음</t>
        </is>
      </c>
      <c r="J45" s="295" t="inlineStr">
        <is>
          <t>해당 없음</t>
        </is>
      </c>
      <c r="K45" s="295" t="inlineStr">
        <is>
          <t>해당 없음</t>
        </is>
      </c>
      <c r="L45" s="295" t="inlineStr">
        <is>
          <t>SCᵣ</t>
        </is>
      </c>
      <c r="M45" s="295" t="inlineStr"/>
      <c r="N45" s="297" t="inlineStr">
        <is>
          <t>N</t>
        </is>
      </c>
      <c r="O45" s="298">
        <f>COUNTIF(구조_변수!$B:$B,$A45)</f>
        <v/>
      </c>
      <c r="P45" s="298">
        <f>COUNTIFS(구조_변수!$B:$B,$A45,구조_변수!$J:$J,"미입력")</f>
        <v/>
      </c>
      <c r="Q45" s="299">
        <f>IF(O45=0,"-",IF(O45-COUNTIFS(구조_변수!$B:$B,$A45,구조_변수!$J:$J,"연결")=0,"연결만",(O45-P45-COUNTIFS(구조_변수!$B:$B,$A45,구조_변수!$J:$J,"연결"))/(O45-COUNTIFS(구조_변수!$B:$B,$A45,구조_변수!$J:$J,"연결"))))</f>
        <v/>
      </c>
      <c r="R45" s="295" t="inlineStr">
        <is>
          <t>제1·2·4절 1인당 값에서 공급</t>
        </is>
      </c>
    </row>
    <row r="46">
      <c r="A46" s="293" t="inlineStr">
        <is>
          <t>비용편익 판정·검증</t>
        </is>
      </c>
      <c r="B46" s="294" t="n"/>
      <c r="C46" s="294" t="n"/>
      <c r="D46" s="294" t="n"/>
      <c r="E46" s="294" t="n"/>
      <c r="F46" s="294" t="n"/>
      <c r="G46" s="294" t="n"/>
      <c r="H46" s="294" t="n"/>
      <c r="I46" s="294" t="n"/>
      <c r="J46" s="294" t="n"/>
      <c r="K46" s="294" t="n"/>
      <c r="L46" s="294" t="n"/>
      <c r="M46" s="294" t="n"/>
      <c r="N46" s="294" t="n"/>
      <c r="O46" s="294" t="n"/>
      <c r="P46" s="294" t="n"/>
      <c r="Q46" s="294" t="n"/>
      <c r="R46" s="294" t="n"/>
    </row>
    <row r="47">
      <c r="A47" s="295" t="inlineStr">
        <is>
          <t>CB-10</t>
        </is>
      </c>
      <c r="B47" s="295" t="inlineStr">
        <is>
          <t>비용편익 판정·검증</t>
        </is>
      </c>
      <c r="C47" s="295" t="inlineStr">
        <is>
          <t>선택편의 점검(SMD)</t>
        </is>
      </c>
      <c r="D47" s="295" t="inlineStr">
        <is>
          <t>PSM·DID</t>
        </is>
      </c>
      <c r="E47" s="295" t="inlineStr">
        <is>
          <t>검증</t>
        </is>
      </c>
      <c r="F47" s="295" t="inlineStr">
        <is>
          <t>해당 없음</t>
        </is>
      </c>
      <c r="G47" s="295" t="inlineStr">
        <is>
          <t>이수·미이수 집단</t>
        </is>
      </c>
      <c r="H47" s="295" t="inlineStr">
        <is>
          <t>해당 없음</t>
        </is>
      </c>
      <c r="I47" s="295" t="inlineStr">
        <is>
          <t>해당 없음</t>
        </is>
      </c>
      <c r="J47" s="295" t="inlineStr">
        <is>
          <t>해당 없음</t>
        </is>
      </c>
      <c r="K47" s="295" t="inlineStr">
        <is>
          <t>해당 없음</t>
        </is>
      </c>
      <c r="L47" s="295" t="inlineStr">
        <is>
          <t>Δr 신뢰성</t>
        </is>
      </c>
      <c r="M47" s="295" t="inlineStr"/>
      <c r="N47" s="297" t="inlineStr">
        <is>
          <t>R1</t>
        </is>
      </c>
      <c r="O47" s="298">
        <f>COUNTIF(구조_변수!$B:$B,$A47)</f>
        <v/>
      </c>
      <c r="P47" s="298">
        <f>COUNTIFS(구조_변수!$B:$B,$A47,구조_변수!$J:$J,"미입력")</f>
        <v/>
      </c>
      <c r="Q47" s="299">
        <f>IF(O47=0,"-",IF(O47-COUNTIFS(구조_변수!$B:$B,$A47,구조_변수!$J:$J,"연결")=0,"연결만",(O47-P47-COUNTIFS(구조_변수!$B:$B,$A47,구조_변수!$J:$J,"연결"))/(O47-COUNTIFS(구조_변수!$B:$B,$A47,구조_변수!$J:$J,"연결"))))</f>
        <v/>
      </c>
      <c r="R47" s="295" t="inlineStr"/>
    </row>
    <row r="48">
      <c r="A48" s="295" t="inlineStr">
        <is>
          <t>CB-11</t>
        </is>
      </c>
      <c r="B48" s="295" t="inlineStr">
        <is>
          <t>비용편익 판정·검증</t>
        </is>
      </c>
      <c r="C48" s="295" t="inlineStr">
        <is>
          <t>중도탈락·과정유형별 효과</t>
        </is>
      </c>
      <c r="D48" s="295" t="inlineStr">
        <is>
          <t>없음</t>
        </is>
      </c>
      <c r="E48" s="295" t="inlineStr">
        <is>
          <t>검증</t>
        </is>
      </c>
      <c r="F48" s="295" t="inlineStr">
        <is>
          <t>해당 없음</t>
        </is>
      </c>
      <c r="G48" s="295" t="inlineStr">
        <is>
          <t>과정유형별 집단</t>
        </is>
      </c>
      <c r="H48" s="295" t="inlineStr">
        <is>
          <t>해당 없음</t>
        </is>
      </c>
      <c r="I48" s="295" t="inlineStr">
        <is>
          <t>해당 없음</t>
        </is>
      </c>
      <c r="J48" s="295" t="inlineStr">
        <is>
          <t>해당 없음</t>
        </is>
      </c>
      <c r="K48" s="295" t="inlineStr">
        <is>
          <t>해당 없음</t>
        </is>
      </c>
      <c r="L48" s="295" t="inlineStr">
        <is>
          <t>Δr</t>
        </is>
      </c>
      <c r="M48" s="295" t="inlineStr"/>
      <c r="N48" s="297" t="inlineStr">
        <is>
          <t>R1</t>
        </is>
      </c>
      <c r="O48" s="298">
        <f>COUNTIF(구조_변수!$B:$B,$A48)</f>
        <v/>
      </c>
      <c r="P48" s="298">
        <f>COUNTIFS(구조_변수!$B:$B,$A48,구조_변수!$J:$J,"미입력")</f>
        <v/>
      </c>
      <c r="Q48" s="299">
        <f>IF(O48=0,"-",IF(O48-COUNTIFS(구조_변수!$B:$B,$A48,구조_변수!$J:$J,"연결")=0,"연결만",(O48-P48-COUNTIFS(구조_변수!$B:$B,$A48,구조_변수!$J:$J,"연결"))/(O48-COUNTIFS(구조_변수!$B:$B,$A48,구조_변수!$J:$J,"연결"))))</f>
        <v/>
      </c>
      <c r="R48" s="295" t="inlineStr"/>
    </row>
    <row r="49">
      <c r="A49" s="295" t="inlineStr">
        <is>
          <t>CB-12</t>
        </is>
      </c>
      <c r="B49" s="295" t="inlineStr">
        <is>
          <t>비용편익 판정·검증</t>
        </is>
      </c>
      <c r="C49" s="295" t="inlineStr">
        <is>
          <t>KEY 산식 정정</t>
        </is>
      </c>
      <c r="D49" s="295" t="inlineStr">
        <is>
          <t>없음</t>
        </is>
      </c>
      <c r="E49" s="295" t="inlineStr">
        <is>
          <t>관리</t>
        </is>
      </c>
      <c r="F49" s="295" t="inlineStr">
        <is>
          <t>해당 없음</t>
        </is>
      </c>
      <c r="G49" s="295" t="inlineStr">
        <is>
          <t>해당 없음</t>
        </is>
      </c>
      <c r="H49" s="295" t="inlineStr">
        <is>
          <t>해당 없음</t>
        </is>
      </c>
      <c r="I49" s="295" t="inlineStr">
        <is>
          <t>해당 없음</t>
        </is>
      </c>
      <c r="J49" s="295" t="inlineStr">
        <is>
          <t>해당 없음</t>
        </is>
      </c>
      <c r="K49" s="295" t="inlineStr">
        <is>
          <t>해당 없음</t>
        </is>
      </c>
      <c r="L49" s="295" t="inlineStr">
        <is>
          <t>서식·원고</t>
        </is>
      </c>
      <c r="M49" s="295" t="inlineStr"/>
      <c r="N49" s="297" t="inlineStr">
        <is>
          <t>N</t>
        </is>
      </c>
      <c r="O49" s="298">
        <f>COUNTIF(구조_변수!$B:$B,$A49)</f>
        <v/>
      </c>
      <c r="P49" s="298">
        <f>COUNTIFS(구조_변수!$B:$B,$A49,구조_변수!$J:$J,"미입력")</f>
        <v/>
      </c>
      <c r="Q49" s="299">
        <f>IF(O49=0,"-",IF(O49-COUNTIFS(구조_변수!$B:$B,$A49,구조_변수!$J:$J,"연결")=0,"연결만",(O49-P49-COUNTIFS(구조_변수!$B:$B,$A49,구조_변수!$J:$J,"연결"))/(O49-COUNTIFS(구조_변수!$B:$B,$A49,구조_변수!$J:$J,"연결"))))</f>
        <v/>
      </c>
      <c r="R49" s="295" t="inlineStr">
        <is>
          <t>SC → SCᵣ, UC-12 할인</t>
        </is>
      </c>
    </row>
  </sheetData>
  <conditionalFormatting sqref="N2:N49">
    <cfRule type="cellIs" priority="1" operator="equal" dxfId="0">
      <formula>"A"</formula>
    </cfRule>
    <cfRule type="cellIs" priority="2" operator="equal" dxfId="1">
      <formula>"B"</formula>
    </cfRule>
    <cfRule type="cellIs" priority="3" operator="equal" dxfId="2">
      <formula>"C"</formula>
    </cfRule>
    <cfRule type="cellIs" priority="4" operator="equal" dxfId="3">
      <formula>"R1"</formula>
    </cfRule>
    <cfRule type="cellIs" priority="5" operator="equal" dxfId="4">
      <formula>"N"</formula>
    </cfRule>
  </conditionalFormatting>
  <conditionalFormatting sqref="H2:K49">
    <cfRule type="cellIs" priority="6" operator="equal" dxfId="5">
      <formula>"결정 대기"</formula>
    </cfRule>
  </conditionalFormatting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style="144" min="1" max="1"/>
    <col width="7" customWidth="1" style="144" min="2" max="2"/>
    <col width="34" customWidth="1" style="144" min="3" max="3"/>
    <col width="9" customWidth="1" style="144" min="4" max="4"/>
    <col width="6" customWidth="1" style="144" min="5" max="5"/>
    <col width="14" customWidth="1" style="144" min="6" max="6"/>
    <col width="40" customWidth="1" style="144" min="7" max="7"/>
    <col width="12" customWidth="1" style="144" min="8" max="8"/>
    <col width="18" customWidth="1" style="144" min="9" max="9"/>
    <col width="10" customWidth="1" style="144" min="10" max="10"/>
    <col width="34" customWidth="1" style="144" min="11" max="11"/>
  </cols>
  <sheetData>
    <row r="1">
      <c r="A1" s="292" t="inlineStr">
        <is>
          <t>변수 ID</t>
        </is>
      </c>
      <c r="B1" s="292" t="inlineStr">
        <is>
          <t>칸 ID</t>
        </is>
      </c>
      <c r="C1" s="292" t="inlineStr">
        <is>
          <t>변수 이름</t>
        </is>
      </c>
      <c r="D1" s="292" t="inlineStr">
        <is>
          <t>단위</t>
        </is>
      </c>
      <c r="E1" s="292" t="inlineStr">
        <is>
          <t>역할</t>
        </is>
      </c>
      <c r="F1" s="292" t="inlineStr">
        <is>
          <t>출처 종류</t>
        </is>
      </c>
      <c r="G1" s="292" t="inlineStr">
        <is>
          <t>출처 상세</t>
        </is>
      </c>
      <c r="H1" s="292" t="inlineStr">
        <is>
          <t>기준연도</t>
        </is>
      </c>
      <c r="I1" s="292" t="inlineStr">
        <is>
          <t>값</t>
        </is>
      </c>
      <c r="J1" s="292" t="inlineStr">
        <is>
          <t>상태</t>
        </is>
      </c>
      <c r="K1" s="292" t="inlineStr">
        <is>
          <t>메모</t>
        </is>
      </c>
    </row>
    <row r="2">
      <c r="A2" s="295" t="inlineStr">
        <is>
          <t>G-01</t>
        </is>
      </c>
      <c r="B2" s="295" t="inlineStr">
        <is>
          <t>공통</t>
        </is>
      </c>
      <c r="C2" s="295" t="inlineStr">
        <is>
          <t>기준 연도</t>
        </is>
      </c>
      <c r="D2" s="295" t="inlineStr">
        <is>
          <t>연</t>
        </is>
      </c>
      <c r="E2" s="295" t="inlineStr">
        <is>
          <t>직접</t>
        </is>
      </c>
      <c r="F2" s="300" t="inlineStr">
        <is>
          <t>가정</t>
        </is>
      </c>
      <c r="G2" s="295" t="inlineStr">
        <is>
          <t>명세 공통 원칙 1</t>
        </is>
      </c>
      <c r="H2" s="301" t="inlineStr">
        <is>
          <t>2025</t>
        </is>
      </c>
      <c r="I2" s="302" t="n">
        <v>2025</v>
      </c>
      <c r="J2" s="298">
        <f>IF(F2="연결","연결",IF(I2="","미입력",IF(F2="가정","가정",IF(OR(F2="문헌",F2="공개통계·예산서"),"대체 입력","입력됨"))))</f>
        <v/>
      </c>
      <c r="K2" s="300" t="inlineStr"/>
    </row>
    <row r="3">
      <c r="A3" s="295" t="inlineStr">
        <is>
          <t>G-02</t>
        </is>
      </c>
      <c r="B3" s="295" t="inlineStr">
        <is>
          <t>공통</t>
        </is>
      </c>
      <c r="C3" s="295" t="inlineStr">
        <is>
          <t>할인율 r</t>
        </is>
      </c>
      <c r="D3" s="295" t="inlineStr">
        <is>
          <t>비율</t>
        </is>
      </c>
      <c r="E3" s="295" t="inlineStr">
        <is>
          <t>직접</t>
        </is>
      </c>
      <c r="F3" s="300" t="inlineStr">
        <is>
          <t>가정</t>
        </is>
      </c>
      <c r="G3" s="295" t="inlineStr">
        <is>
          <t>명세·인계메모 기본값(민감도 3~5%)</t>
        </is>
      </c>
      <c r="H3" s="301" t="inlineStr">
        <is>
          <t>2025</t>
        </is>
      </c>
      <c r="I3" s="303" t="n">
        <v>0.045</v>
      </c>
      <c r="J3" s="298">
        <f>IF(F3="연결","연결",IF(I3="","미입력",IF(F3="가정","가정",IF(OR(F3="문헌",F3="공개통계·예산서"),"대체 입력","입력됨"))))</f>
        <v/>
      </c>
      <c r="K3" s="300" t="inlineStr"/>
    </row>
    <row r="4">
      <c r="A4" s="295" t="inlineStr">
        <is>
          <t>G-03</t>
        </is>
      </c>
      <c r="B4" s="295" t="inlineStr">
        <is>
          <t>공통</t>
        </is>
      </c>
      <c r="C4" s="295" t="inlineStr">
        <is>
          <t>암수율 λ</t>
        </is>
      </c>
      <c r="D4" s="295" t="inlineStr">
        <is>
          <t>배</t>
        </is>
      </c>
      <c r="E4" s="295" t="inlineStr">
        <is>
          <t>직접</t>
        </is>
      </c>
      <c r="F4" s="300" t="inlineStr">
        <is>
          <t>문헌</t>
        </is>
      </c>
      <c r="G4" s="295" t="inlineStr">
        <is>
          <t>박성수·백민석(2019)</t>
        </is>
      </c>
      <c r="H4" s="301" t="inlineStr"/>
      <c r="I4" s="304" t="n">
        <v>28.57</v>
      </c>
      <c r="J4" s="298">
        <f>IF(F4="연결","연결",IF(I4="","미입력",IF(F4="가정","가정",IF(OR(F4="문헌",F4="공개통계·예산서"),"대체 입력","입력됨"))))</f>
        <v/>
      </c>
      <c r="K4" s="300" t="inlineStr">
        <is>
          <t>λ 10 비교 병행</t>
        </is>
      </c>
    </row>
    <row r="5">
      <c r="A5" s="295" t="inlineStr">
        <is>
          <t>G-04</t>
        </is>
      </c>
      <c r="B5" s="295" t="inlineStr">
        <is>
          <t>공통</t>
        </is>
      </c>
      <c r="C5" s="295" t="inlineStr">
        <is>
          <t>마약류 단속 인원 N검거</t>
        </is>
      </c>
      <c r="D5" s="295" t="inlineStr">
        <is>
          <t>명</t>
        </is>
      </c>
      <c r="E5" s="295" t="inlineStr">
        <is>
          <t>직접</t>
        </is>
      </c>
      <c r="F5" s="300" t="inlineStr">
        <is>
          <t>백서</t>
        </is>
      </c>
      <c r="G5" s="295" t="inlineStr">
        <is>
          <t>2025 마약류 범죄백서 표 3-1</t>
        </is>
      </c>
      <c r="H5" s="301" t="inlineStr">
        <is>
          <t>2025</t>
        </is>
      </c>
      <c r="I5" s="302" t="n">
        <v>23403</v>
      </c>
      <c r="J5" s="298">
        <f>IF(F5="연결","연결",IF(I5="","미입력",IF(F5="가정","가정",IF(OR(F5="문헌",F5="공개통계·예산서"),"대체 입력","입력됨"))))</f>
        <v/>
      </c>
      <c r="K5" s="300" t="inlineStr"/>
    </row>
    <row r="6">
      <c r="A6" s="295" t="inlineStr">
        <is>
          <t>G-05</t>
        </is>
      </c>
      <c r="B6" s="295" t="inlineStr">
        <is>
          <t>공통</t>
        </is>
      </c>
      <c r="C6" s="295" t="inlineStr">
        <is>
          <t>교정시설 1일 평균 수용인원</t>
        </is>
      </c>
      <c r="D6" s="295" t="inlineStr">
        <is>
          <t>명</t>
        </is>
      </c>
      <c r="E6" s="295" t="inlineStr">
        <is>
          <t>직접</t>
        </is>
      </c>
      <c r="F6" s="300" t="inlineStr">
        <is>
          <t>서식 회신</t>
        </is>
      </c>
      <c r="G6" s="295" t="inlineStr">
        <is>
          <t>서식2 1번(보안과, 26.9.7)</t>
        </is>
      </c>
      <c r="H6" s="301" t="inlineStr">
        <is>
          <t>2025</t>
        </is>
      </c>
      <c r="I6" s="302" t="n">
        <v>63680</v>
      </c>
      <c r="J6" s="298">
        <f>IF(F6="연결","연결",IF(I6="","미입력",IF(F6="가정","가정",IF(OR(F6="문헌",F6="공개통계·예산서"),"대체 입력","입력됨"))))</f>
        <v/>
      </c>
      <c r="K6" s="300" t="inlineStr"/>
    </row>
    <row r="7">
      <c r="A7" s="295" t="inlineStr">
        <is>
          <t>G-06</t>
        </is>
      </c>
      <c r="B7" s="295" t="inlineStr">
        <is>
          <t>공통</t>
        </is>
      </c>
      <c r="C7" s="295" t="inlineStr">
        <is>
          <t>마약류 수용인원</t>
        </is>
      </c>
      <c r="D7" s="295" t="inlineStr">
        <is>
          <t>명</t>
        </is>
      </c>
      <c r="E7" s="295" t="inlineStr">
        <is>
          <t>직접</t>
        </is>
      </c>
      <c r="F7" s="300" t="inlineStr">
        <is>
          <t>서식 회신</t>
        </is>
      </c>
      <c r="G7" s="295" t="inlineStr">
        <is>
          <t>서식3 1번 요청. 회신은 연말 현원</t>
        </is>
      </c>
      <c r="H7" s="301" t="inlineStr">
        <is>
          <t>2025</t>
        </is>
      </c>
      <c r="I7" s="302" t="n">
        <v>7429</v>
      </c>
      <c r="J7" s="298">
        <f>IF(F7="연결","연결",IF(I7="","미입력",IF(F7="가정","가정",IF(OR(F7="문헌",F7="공개통계·예산서"),"대체 입력","입력됨"))))</f>
        <v/>
      </c>
      <c r="K7" s="300" t="inlineStr">
        <is>
          <t>1일 평균 미회신 → 연말 현원 대체</t>
        </is>
      </c>
    </row>
    <row r="8">
      <c r="A8" s="295" t="inlineStr">
        <is>
          <t>G-07</t>
        </is>
      </c>
      <c r="B8" s="295" t="inlineStr">
        <is>
          <t>공통</t>
        </is>
      </c>
      <c r="C8" s="295" t="inlineStr">
        <is>
          <t>연령별 연평균 임금</t>
        </is>
      </c>
      <c r="D8" s="295" t="inlineStr">
        <is>
          <t>원</t>
        </is>
      </c>
      <c r="E8" s="295" t="inlineStr">
        <is>
          <t>직접</t>
        </is>
      </c>
      <c r="F8" s="300" t="inlineStr">
        <is>
          <t>공개통계·예산서</t>
        </is>
      </c>
      <c r="G8" s="295" t="inlineStr">
        <is>
          <t>고용노동부 고용형태별 근로실태조사</t>
        </is>
      </c>
      <c r="H8" s="301" t="inlineStr"/>
      <c r="I8" s="300" t="n"/>
      <c r="J8" s="298">
        <f>IF(F8="연결","연결",IF(I8="","미입력",IF(F8="가정","가정",IF(OR(F8="문헌",F8="공개통계·예산서"),"대체 입력","입력됨"))))</f>
        <v/>
      </c>
      <c r="K8" s="300" t="inlineStr"/>
    </row>
    <row r="9">
      <c r="A9" s="295" t="inlineStr">
        <is>
          <t>G-08</t>
        </is>
      </c>
      <c r="B9" s="295" t="inlineStr">
        <is>
          <t>공통</t>
        </is>
      </c>
      <c r="C9" s="295" t="inlineStr">
        <is>
          <t>연령별 경제활동참가율</t>
        </is>
      </c>
      <c r="D9" s="295" t="inlineStr">
        <is>
          <t>비율</t>
        </is>
      </c>
      <c r="E9" s="295" t="inlineStr">
        <is>
          <t>직접</t>
        </is>
      </c>
      <c r="F9" s="300" t="inlineStr">
        <is>
          <t>공개통계·예산서</t>
        </is>
      </c>
      <c r="G9" s="295" t="inlineStr">
        <is>
          <t>통계청 경제활동인구조사</t>
        </is>
      </c>
      <c r="H9" s="301" t="inlineStr"/>
      <c r="I9" s="300" t="n"/>
      <c r="J9" s="298">
        <f>IF(F9="연결","연결",IF(I9="","미입력",IF(F9="가정","가정",IF(OR(F9="문헌",F9="공개통계·예산서"),"대체 입력","입력됨"))))</f>
        <v/>
      </c>
      <c r="K9" s="300" t="inlineStr"/>
    </row>
    <row r="10">
      <c r="A10" s="295" t="inlineStr">
        <is>
          <t>G-09</t>
        </is>
      </c>
      <c r="B10" s="295" t="inlineStr">
        <is>
          <t>공통</t>
        </is>
      </c>
      <c r="C10" s="295" t="inlineStr">
        <is>
          <t>연령별 취업률</t>
        </is>
      </c>
      <c r="D10" s="295" t="inlineStr">
        <is>
          <t>비율</t>
        </is>
      </c>
      <c r="E10" s="295" t="inlineStr">
        <is>
          <t>직접</t>
        </is>
      </c>
      <c r="F10" s="300" t="inlineStr">
        <is>
          <t>공개통계·예산서</t>
        </is>
      </c>
      <c r="G10" s="295" t="inlineStr">
        <is>
          <t>통계청 경제활동인구조사</t>
        </is>
      </c>
      <c r="H10" s="301" t="inlineStr"/>
      <c r="I10" s="300" t="n"/>
      <c r="J10" s="298">
        <f>IF(F10="연결","연결",IF(I10="","미입력",IF(F10="가정","가정",IF(OR(F10="문헌",F10="공개통계·예산서"),"대체 입력","입력됨"))))</f>
        <v/>
      </c>
      <c r="K10" s="300" t="inlineStr"/>
    </row>
    <row r="11">
      <c r="A11" s="295" t="inlineStr">
        <is>
          <t>G-10</t>
        </is>
      </c>
      <c r="B11" s="295" t="inlineStr">
        <is>
          <t>공통</t>
        </is>
      </c>
      <c r="C11" s="295" t="inlineStr">
        <is>
          <t>소비자물가지수 환산계수</t>
        </is>
      </c>
      <c r="D11" s="295" t="inlineStr">
        <is>
          <t>배</t>
        </is>
      </c>
      <c r="E11" s="295" t="inlineStr">
        <is>
          <t>직접</t>
        </is>
      </c>
      <c r="F11" s="300" t="inlineStr">
        <is>
          <t>공개통계·예산서</t>
        </is>
      </c>
      <c r="G11" s="295" t="inlineStr">
        <is>
          <t>통계청 CPI</t>
        </is>
      </c>
      <c r="H11" s="301" t="inlineStr"/>
      <c r="I11" s="300" t="n"/>
      <c r="J11" s="298">
        <f>IF(F11="연결","연결",IF(I11="","미입력",IF(F11="가정","가정",IF(OR(F11="문헌",F11="공개통계·예산서"),"대체 입력","입력됨"))))</f>
        <v/>
      </c>
      <c r="K11" s="300" t="inlineStr">
        <is>
          <t>과거 원단위 2025년 가격 환산</t>
        </is>
      </c>
    </row>
    <row r="12">
      <c r="A12" s="295" t="inlineStr">
        <is>
          <t>G-11</t>
        </is>
      </c>
      <c r="B12" s="295" t="inlineStr">
        <is>
          <t>공통</t>
        </is>
      </c>
      <c r="C12" s="295" t="inlineStr">
        <is>
          <t>N* 중 의존(장애) 상태 비율</t>
        </is>
      </c>
      <c r="D12" s="295" t="inlineStr">
        <is>
          <t>비율</t>
        </is>
      </c>
      <c r="E12" s="295" t="inlineStr">
        <is>
          <t>직접</t>
        </is>
      </c>
      <c r="F12" s="300" t="inlineStr">
        <is>
          <t>문헌</t>
        </is>
      </c>
      <c r="G12" s="295" t="inlineStr">
        <is>
          <t>대응 자료 없음</t>
        </is>
      </c>
      <c r="H12" s="301" t="inlineStr"/>
      <c r="I12" s="300" t="n"/>
      <c r="J12" s="298">
        <f>IF(F12="연결","연결",IF(I12="","미입력",IF(F12="가정","가정",IF(OR(F12="문헌",F12="공개통계·예산서"),"대체 입력","입력됨"))))</f>
        <v/>
      </c>
      <c r="K12" s="300" t="inlineStr">
        <is>
          <t>R1 원인. 문헌 비율 도입 시 가정</t>
        </is>
      </c>
    </row>
    <row r="13">
      <c r="A13" s="295" t="inlineStr">
        <is>
          <t>G-12</t>
        </is>
      </c>
      <c r="B13" s="295" t="inlineStr">
        <is>
          <t>공통</t>
        </is>
      </c>
      <c r="C13" s="295" t="inlineStr">
        <is>
          <t>전국 성인 인구</t>
        </is>
      </c>
      <c r="D13" s="295" t="inlineStr">
        <is>
          <t>명</t>
        </is>
      </c>
      <c r="E13" s="295" t="inlineStr">
        <is>
          <t>직접</t>
        </is>
      </c>
      <c r="F13" s="300" t="inlineStr">
        <is>
          <t>공개통계·예산서</t>
        </is>
      </c>
      <c r="G13" s="295" t="inlineStr">
        <is>
          <t>통계청 주민등록인구</t>
        </is>
      </c>
      <c r="H13" s="301" t="inlineStr"/>
      <c r="I13" s="300" t="n"/>
      <c r="J13" s="298">
        <f>IF(F13="연결","연결",IF(I13="","미입력",IF(F13="가정","가정",IF(OR(F13="문헌",F13="공개통계·예산서"),"대체 입력","입력됨"))))</f>
        <v/>
      </c>
      <c r="K13" s="300" t="inlineStr"/>
    </row>
    <row r="14">
      <c r="A14" s="295" t="inlineStr">
        <is>
          <t>G-13</t>
        </is>
      </c>
      <c r="B14" s="295" t="inlineStr">
        <is>
          <t>공통</t>
        </is>
      </c>
      <c r="C14" s="295" t="inlineStr">
        <is>
          <t>명목 GDP</t>
        </is>
      </c>
      <c r="D14" s="295" t="inlineStr">
        <is>
          <t>원</t>
        </is>
      </c>
      <c r="E14" s="295" t="inlineStr">
        <is>
          <t>직접</t>
        </is>
      </c>
      <c r="F14" s="300" t="inlineStr">
        <is>
          <t>공개통계·예산서</t>
        </is>
      </c>
      <c r="G14" s="295" t="inlineStr">
        <is>
          <t>한국은행 국민계정</t>
        </is>
      </c>
      <c r="H14" s="301" t="inlineStr"/>
      <c r="I14" s="300" t="n"/>
      <c r="J14" s="298">
        <f>IF(F14="연결","연결",IF(I14="","미입력",IF(F14="가정","가정",IF(OR(F14="문헌",F14="공개통계·예산서"),"대체 입력","입력됨"))))</f>
        <v/>
      </c>
      <c r="K14" s="300" t="inlineStr"/>
    </row>
    <row r="15">
      <c r="A15" s="295" t="inlineStr">
        <is>
          <t>1-1a-1</t>
        </is>
      </c>
      <c r="B15" s="295" t="inlineStr">
        <is>
          <t>1-1a</t>
        </is>
      </c>
      <c r="C15" s="295" t="inlineStr">
        <is>
          <t>물질 관련 장애 상병 건강보험 진료비</t>
        </is>
      </c>
      <c r="D15" s="295" t="inlineStr">
        <is>
          <t>원</t>
        </is>
      </c>
      <c r="E15" s="295" t="inlineStr">
        <is>
          <t>직접</t>
        </is>
      </c>
      <c r="F15" s="300" t="inlineStr">
        <is>
          <t>공개통계·예산서</t>
        </is>
      </c>
      <c r="G15" s="295" t="inlineStr">
        <is>
          <t>심평원 질병세분류 통계</t>
        </is>
      </c>
      <c r="H15" s="301" t="inlineStr"/>
      <c r="I15" s="300" t="n"/>
      <c r="J15" s="298">
        <f>IF(F15="연결","연결",IF(I15="","미입력",IF(F15="가정","가정",IF(OR(F15="문헌",F15="공개통계·예산서"),"대체 입력","입력됨"))))</f>
        <v/>
      </c>
      <c r="K15" s="300" t="inlineStr">
        <is>
          <t>알코올·담배 상병 제외</t>
        </is>
      </c>
    </row>
    <row r="16">
      <c r="A16" s="295" t="inlineStr">
        <is>
          <t>1-1a-2</t>
        </is>
      </c>
      <c r="B16" s="295" t="inlineStr">
        <is>
          <t>1-1a</t>
        </is>
      </c>
      <c r="C16" s="295" t="inlineStr">
        <is>
          <t>같은 상병 의료급여 진료비</t>
        </is>
      </c>
      <c r="D16" s="295" t="inlineStr">
        <is>
          <t>원</t>
        </is>
      </c>
      <c r="E16" s="295" t="inlineStr">
        <is>
          <t>직접</t>
        </is>
      </c>
      <c r="F16" s="300" t="inlineStr">
        <is>
          <t>공개통계·예산서</t>
        </is>
      </c>
      <c r="G16" s="295" t="inlineStr">
        <is>
          <t>심평원 의료급여 통계</t>
        </is>
      </c>
      <c r="H16" s="301" t="inlineStr"/>
      <c r="I16" s="300" t="n"/>
      <c r="J16" s="298">
        <f>IF(F16="연결","연결",IF(I16="","미입력",IF(F16="가정","가정",IF(OR(F16="문헌",F16="공개통계·예산서"),"대체 입력","입력됨"))))</f>
        <v/>
      </c>
      <c r="K16" s="300" t="inlineStr"/>
    </row>
    <row r="17">
      <c r="A17" s="295" t="inlineStr">
        <is>
          <t>1-1a-3</t>
        </is>
      </c>
      <c r="B17" s="295" t="inlineStr">
        <is>
          <t>1-1a</t>
        </is>
      </c>
      <c r="C17" s="295" t="inlineStr">
        <is>
          <t>상병별 원인기여율</t>
        </is>
      </c>
      <c r="D17" s="295" t="inlineStr">
        <is>
          <t>비율</t>
        </is>
      </c>
      <c r="E17" s="295" t="inlineStr">
        <is>
          <t>직접</t>
        </is>
      </c>
      <c r="F17" s="300" t="inlineStr">
        <is>
          <t>문헌</t>
        </is>
      </c>
      <c r="G17" s="295" t="inlineStr">
        <is>
          <t>물질 관련 장애 1.0, 동반질환 문헌값</t>
        </is>
      </c>
      <c r="H17" s="301" t="inlineStr"/>
      <c r="I17" s="300" t="n"/>
      <c r="J17" s="298">
        <f>IF(F17="연결","연결",IF(I17="","미입력",IF(F17="가정","가정",IF(OR(F17="문헌",F17="공개통계·예산서"),"대체 입력","입력됨"))))</f>
        <v/>
      </c>
      <c r="K17" s="300" t="inlineStr"/>
    </row>
    <row r="18">
      <c r="A18" s="295" t="inlineStr">
        <is>
          <t>1-1a-4</t>
        </is>
      </c>
      <c r="B18" s="295" t="inlineStr">
        <is>
          <t>1-1a</t>
        </is>
      </c>
      <c r="C18" s="295" t="inlineStr">
        <is>
          <t>진료 실인원</t>
        </is>
      </c>
      <c r="D18" s="295" t="inlineStr">
        <is>
          <t>명</t>
        </is>
      </c>
      <c r="E18" s="295" t="inlineStr">
        <is>
          <t>보조</t>
        </is>
      </c>
      <c r="F18" s="300" t="inlineStr">
        <is>
          <t>공개통계·예산서</t>
        </is>
      </c>
      <c r="G18" s="295" t="inlineStr">
        <is>
          <t>심평원</t>
        </is>
      </c>
      <c r="H18" s="301" t="inlineStr"/>
      <c r="I18" s="300" t="n"/>
      <c r="J18" s="298">
        <f>IF(F18="연결","연결",IF(I18="","미입력",IF(F18="가정","가정",IF(OR(F18="문헌",F18="공개통계·예산서"),"대체 입력","입력됨"))))</f>
        <v/>
      </c>
      <c r="K18" s="300" t="inlineStr">
        <is>
          <t>S6 보정에 사용</t>
        </is>
      </c>
    </row>
    <row r="19">
      <c r="A19" s="295" t="inlineStr">
        <is>
          <t>1-1b-1</t>
        </is>
      </c>
      <c r="B19" s="295" t="inlineStr">
        <is>
          <t>1-1b</t>
        </is>
      </c>
      <c r="C19" s="295" t="inlineStr">
        <is>
          <t>치료보호 집행액</t>
        </is>
      </c>
      <c r="D19" s="295" t="inlineStr">
        <is>
          <t>원</t>
        </is>
      </c>
      <c r="E19" s="295" t="inlineStr">
        <is>
          <t>직접</t>
        </is>
      </c>
      <c r="F19" s="300" t="inlineStr">
        <is>
          <t>별도요청</t>
        </is>
      </c>
      <c r="G19" s="295" t="inlineStr">
        <is>
          <t>별도요청 2번(복지부)</t>
        </is>
      </c>
      <c r="H19" s="301" t="inlineStr">
        <is>
          <t>2025</t>
        </is>
      </c>
      <c r="I19" s="300" t="n"/>
      <c r="J19" s="298">
        <f>IF(F19="연결","연결",IF(I19="","미입력",IF(F19="가정","가정",IF(OR(F19="문헌",F19="공개통계·예산서"),"대체 입력","입력됨"))))</f>
        <v/>
      </c>
      <c r="K19" s="300" t="inlineStr">
        <is>
          <t>미회신 → 복지부 예산서로 대체 가능</t>
        </is>
      </c>
    </row>
    <row r="20">
      <c r="A20" s="295" t="inlineStr">
        <is>
          <t>1-1b-2</t>
        </is>
      </c>
      <c r="B20" s="295" t="inlineStr">
        <is>
          <t>1-1b</t>
        </is>
      </c>
      <c r="C20" s="295" t="inlineStr">
        <is>
          <t>치료보호 인원</t>
        </is>
      </c>
      <c r="D20" s="295" t="inlineStr">
        <is>
          <t>명</t>
        </is>
      </c>
      <c r="E20" s="295" t="inlineStr">
        <is>
          <t>직접</t>
        </is>
      </c>
      <c r="F20" s="300" t="inlineStr">
        <is>
          <t>백서</t>
        </is>
      </c>
      <c r="G20" s="295" t="inlineStr">
        <is>
          <t>백서 표 3-82(복지부 정신건강관리과)</t>
        </is>
      </c>
      <c r="H20" s="301" t="inlineStr">
        <is>
          <t>2025</t>
        </is>
      </c>
      <c r="I20" s="302" t="n">
        <v>1649</v>
      </c>
      <c r="J20" s="298">
        <f>IF(F20="연결","연결",IF(I20="","미입력",IF(F20="가정","가정",IF(OR(F20="문헌",F20="공개통계·예산서"),"대체 입력","입력됨"))))</f>
        <v/>
      </c>
      <c r="K20" s="300" t="inlineStr">
        <is>
          <t>외래 1,422 · 입원 227</t>
        </is>
      </c>
    </row>
    <row r="21">
      <c r="A21" s="295" t="inlineStr">
        <is>
          <t>1-1c-1</t>
        </is>
      </c>
      <c r="B21" s="295" t="inlineStr">
        <is>
          <t>1-1c</t>
        </is>
      </c>
      <c r="C21" s="295" t="inlineStr">
        <is>
          <t>수용자 의료비 집행액</t>
        </is>
      </c>
      <c r="D21" s="295" t="inlineStr">
        <is>
          <t>원</t>
        </is>
      </c>
      <c r="E21" s="295" t="inlineStr">
        <is>
          <t>직접</t>
        </is>
      </c>
      <c r="F21" s="300" t="inlineStr">
        <is>
          <t>서식 회신</t>
        </is>
      </c>
      <c r="G21" s="295" t="inlineStr">
        <is>
          <t>서식7 1번(의료과, 26.9.7)</t>
        </is>
      </c>
      <c r="H21" s="301" t="inlineStr">
        <is>
          <t>2025</t>
        </is>
      </c>
      <c r="I21" s="302" t="n">
        <v>5095510000</v>
      </c>
      <c r="J21" s="298">
        <f>IF(F21="연결","연결",IF(I21="","미입력",IF(F21="가정","가정",IF(OR(F21="문헌",F21="공개통계·예산서"),"대체 입력","입력됨"))))</f>
        <v/>
      </c>
      <c r="K21" s="300" t="inlineStr">
        <is>
          <t>"원" 칸에 5,095,510 기재 → 천원 가정해 원으로 환산</t>
        </is>
      </c>
    </row>
    <row r="22">
      <c r="A22" s="295" t="inlineStr">
        <is>
          <t>1-1c-2</t>
        </is>
      </c>
      <c r="B22" s="295" t="inlineStr">
        <is>
          <t>1-1c</t>
        </is>
      </c>
      <c r="C22" s="295" t="inlineStr">
        <is>
          <t>1일 평균 수용인원</t>
        </is>
      </c>
      <c r="D22" s="295" t="inlineStr">
        <is>
          <t>명</t>
        </is>
      </c>
      <c r="E22" s="295" t="inlineStr">
        <is>
          <t>보조</t>
        </is>
      </c>
      <c r="F22" s="300" t="inlineStr">
        <is>
          <t>연결</t>
        </is>
      </c>
      <c r="G22" s="295" t="inlineStr">
        <is>
          <t>→ G-05</t>
        </is>
      </c>
      <c r="H22" s="301" t="inlineStr"/>
      <c r="I22" s="300" t="n"/>
      <c r="J22" s="298">
        <f>IF(F22="연결","연결",IF(I22="","미입력",IF(F22="가정","가정",IF(OR(F22="문헌",F22="공개통계·예산서"),"대체 입력","입력됨"))))</f>
        <v/>
      </c>
      <c r="K22" s="300" t="inlineStr"/>
    </row>
    <row r="23">
      <c r="A23" s="295" t="inlineStr">
        <is>
          <t>1-1c-3</t>
        </is>
      </c>
      <c r="B23" s="295" t="inlineStr">
        <is>
          <t>1-1c</t>
        </is>
      </c>
      <c r="C23" s="295" t="inlineStr">
        <is>
          <t>마약류 수용인원</t>
        </is>
      </c>
      <c r="D23" s="295" t="inlineStr">
        <is>
          <t>명</t>
        </is>
      </c>
      <c r="E23" s="295" t="inlineStr">
        <is>
          <t>보조</t>
        </is>
      </c>
      <c r="F23" s="300" t="inlineStr">
        <is>
          <t>연결</t>
        </is>
      </c>
      <c r="G23" s="295" t="inlineStr">
        <is>
          <t>→ G-06</t>
        </is>
      </c>
      <c r="H23" s="301" t="inlineStr"/>
      <c r="I23" s="300" t="n"/>
      <c r="J23" s="298">
        <f>IF(F23="연결","연결",IF(I23="","미입력",IF(F23="가정","가정",IF(OR(F23="문헌",F23="공개통계·예산서"),"대체 입력","입력됨"))))</f>
        <v/>
      </c>
      <c r="K23" s="300" t="inlineStr"/>
    </row>
    <row r="24">
      <c r="A24" s="295" t="inlineStr">
        <is>
          <t>1-2-1</t>
        </is>
      </c>
      <c r="B24" s="295" t="inlineStr">
        <is>
          <t>1-2</t>
        </is>
      </c>
      <c r="C24" s="295" t="inlineStr">
        <is>
          <t>직접 비의료비 비율</t>
        </is>
      </c>
      <c r="D24" s="295" t="inlineStr">
        <is>
          <t>비율</t>
        </is>
      </c>
      <c r="E24" s="295" t="inlineStr">
        <is>
          <t>직접</t>
        </is>
      </c>
      <c r="F24" s="300" t="inlineStr">
        <is>
          <t>가정</t>
        </is>
      </c>
      <c r="G24" s="295" t="inlineStr">
        <is>
          <t>한국보건사회연구원(보고서명·연도 미확인)</t>
        </is>
      </c>
      <c r="H24" s="301" t="inlineStr"/>
      <c r="I24" s="303" t="n">
        <v>0.381</v>
      </c>
      <c r="J24" s="298">
        <f>IF(F24="연결","연결",IF(I24="","미입력",IF(F24="가정","가정",IF(OR(F24="문헌",F24="공개통계·예산서"),"대체 입력","입력됨"))))</f>
        <v/>
      </c>
      <c r="K24" s="300" t="inlineStr"/>
    </row>
    <row r="25">
      <c r="A25" s="295" t="inlineStr">
        <is>
          <t>1-3-1</t>
        </is>
      </c>
      <c r="B25" s="295" t="inlineStr">
        <is>
          <t>1-3</t>
        </is>
      </c>
      <c r="C25" s="295" t="inlineStr">
        <is>
          <t>함께한걸음센터 운영비 중 재활분</t>
        </is>
      </c>
      <c r="D25" s="295" t="inlineStr">
        <is>
          <t>원</t>
        </is>
      </c>
      <c r="E25" s="295" t="inlineStr">
        <is>
          <t>직접</t>
        </is>
      </c>
      <c r="F25" s="300" t="inlineStr">
        <is>
          <t>공개통계·예산서</t>
        </is>
      </c>
      <c r="G25" s="295" t="inlineStr">
        <is>
          <t>식약처·복지부 예산서</t>
        </is>
      </c>
      <c r="H25" s="301" t="inlineStr"/>
      <c r="I25" s="300" t="n"/>
      <c r="J25" s="298">
        <f>IF(F25="연결","연결",IF(I25="","미입력",IF(F25="가정","가정",IF(OR(F25="문헌",F25="공개통계·예산서"),"대체 입력","입력됨"))))</f>
        <v/>
      </c>
      <c r="K25" s="300" t="inlineStr"/>
    </row>
    <row r="26">
      <c r="A26" s="295" t="inlineStr">
        <is>
          <t>1-3-2</t>
        </is>
      </c>
      <c r="B26" s="295" t="inlineStr">
        <is>
          <t>1-3</t>
        </is>
      </c>
      <c r="C26" s="295" t="inlineStr">
        <is>
          <t>중독관리통합지원센터 운영비 중 마약류 귀속분</t>
        </is>
      </c>
      <c r="D26" s="295" t="inlineStr">
        <is>
          <t>원</t>
        </is>
      </c>
      <c r="E26" s="295" t="inlineStr">
        <is>
          <t>직접</t>
        </is>
      </c>
      <c r="F26" s="300" t="inlineStr">
        <is>
          <t>공개통계·예산서</t>
        </is>
      </c>
      <c r="G26" s="295" t="inlineStr">
        <is>
          <t>복지부 예산서</t>
        </is>
      </c>
      <c r="H26" s="301" t="inlineStr"/>
      <c r="I26" s="300" t="n"/>
      <c r="J26" s="298">
        <f>IF(F26="연결","연결",IF(I26="","미입력",IF(F26="가정","가정",IF(OR(F26="문헌",F26="공개통계·예산서"),"대체 입력","입력됨"))))</f>
        <v/>
      </c>
      <c r="K26" s="300" t="inlineStr">
        <is>
          <t>귀속 비율 필요</t>
        </is>
      </c>
    </row>
    <row r="27">
      <c r="A27" s="295" t="inlineStr">
        <is>
          <t>1-3-3</t>
        </is>
      </c>
      <c r="B27" s="295" t="inlineStr">
        <is>
          <t>1-3</t>
        </is>
      </c>
      <c r="C27" s="295" t="inlineStr">
        <is>
          <t>한국마약퇴치운동본부 재활사업비</t>
        </is>
      </c>
      <c r="D27" s="295" t="inlineStr">
        <is>
          <t>원</t>
        </is>
      </c>
      <c r="E27" s="295" t="inlineStr">
        <is>
          <t>직접</t>
        </is>
      </c>
      <c r="F27" s="300" t="inlineStr">
        <is>
          <t>공개통계·예산서</t>
        </is>
      </c>
      <c r="G27" s="295" t="inlineStr">
        <is>
          <t>마퇴본부 결산</t>
        </is>
      </c>
      <c r="H27" s="301" t="inlineStr"/>
      <c r="I27" s="300" t="n"/>
      <c r="J27" s="298">
        <f>IF(F27="연결","연결",IF(I27="","미입력",IF(F27="가정","가정",IF(OR(F27="문헌",F27="공개통계·예산서"),"대체 입력","입력됨"))))</f>
        <v/>
      </c>
      <c r="K27" s="300" t="inlineStr">
        <is>
          <t>예방·홍보비는 5-1로</t>
        </is>
      </c>
    </row>
    <row r="28">
      <c r="A28" s="295" t="inlineStr">
        <is>
          <t>2-1-1</t>
        </is>
      </c>
      <c r="B28" s="295" t="inlineStr">
        <is>
          <t>2-1</t>
        </is>
      </c>
      <c r="C28" s="295" t="inlineStr">
        <is>
          <t>성·연령별 약물 중독 사망자 수</t>
        </is>
      </c>
      <c r="D28" s="295" t="inlineStr">
        <is>
          <t>명</t>
        </is>
      </c>
      <c r="E28" s="295" t="inlineStr">
        <is>
          <t>직접</t>
        </is>
      </c>
      <c r="F28" s="300" t="inlineStr">
        <is>
          <t>공개통계·예산서</t>
        </is>
      </c>
      <c r="G28" s="295" t="inlineStr">
        <is>
          <t>통계청 사망원인통계</t>
        </is>
      </c>
      <c r="H28" s="301" t="inlineStr"/>
      <c r="I28" s="300" t="n"/>
      <c r="J28" s="298">
        <f>IF(F28="연결","연결",IF(I28="","미입력",IF(F28="가정","가정",IF(OR(F28="문헌",F28="공개통계·예산서"),"대체 입력","입력됨"))))</f>
        <v/>
      </c>
      <c r="K28" s="300" t="inlineStr">
        <is>
          <t>3개년 평균</t>
        </is>
      </c>
    </row>
    <row r="29">
      <c r="A29" s="295" t="inlineStr">
        <is>
          <t>2-1-2</t>
        </is>
      </c>
      <c r="B29" s="295" t="inlineStr">
        <is>
          <t>2-1</t>
        </is>
      </c>
      <c r="C29" s="295" t="inlineStr">
        <is>
          <t>근로 종료 연령</t>
        </is>
      </c>
      <c r="D29" s="295" t="inlineStr">
        <is>
          <t>세</t>
        </is>
      </c>
      <c r="E29" s="295" t="inlineStr">
        <is>
          <t>직접</t>
        </is>
      </c>
      <c r="F29" s="300" t="inlineStr">
        <is>
          <t>가정</t>
        </is>
      </c>
      <c r="G29" s="295" t="inlineStr">
        <is>
          <t>팀 결정</t>
        </is>
      </c>
      <c r="H29" s="301" t="inlineStr"/>
      <c r="I29" s="300" t="n"/>
      <c r="J29" s="298">
        <f>IF(F29="연결","연결",IF(I29="","미입력",IF(F29="가정","가정",IF(OR(F29="문헌",F29="공개통계·예산서"),"대체 입력","입력됨"))))</f>
        <v/>
      </c>
      <c r="K29" s="300" t="inlineStr"/>
    </row>
    <row r="30">
      <c r="A30" s="295" t="inlineStr">
        <is>
          <t>2-2-1</t>
        </is>
      </c>
      <c r="B30" s="295" t="inlineStr">
        <is>
          <t>2-2</t>
        </is>
      </c>
      <c r="C30" s="295" t="inlineStr">
        <is>
          <t>물질 관련 장애 입원일수</t>
        </is>
      </c>
      <c r="D30" s="295" t="inlineStr">
        <is>
          <t>일</t>
        </is>
      </c>
      <c r="E30" s="295" t="inlineStr">
        <is>
          <t>직접</t>
        </is>
      </c>
      <c r="F30" s="300" t="inlineStr">
        <is>
          <t>공개통계·예산서</t>
        </is>
      </c>
      <c r="G30" s="295" t="inlineStr">
        <is>
          <t>심평원</t>
        </is>
      </c>
      <c r="H30" s="301" t="inlineStr"/>
      <c r="I30" s="300" t="n"/>
      <c r="J30" s="298">
        <f>IF(F30="연결","연결",IF(I30="","미입력",IF(F30="가정","가정",IF(OR(F30="문헌",F30="공개통계·예산서"),"대체 입력","입력됨"))))</f>
        <v/>
      </c>
      <c r="K30" s="300" t="inlineStr"/>
    </row>
    <row r="31">
      <c r="A31" s="295" t="inlineStr">
        <is>
          <t>2-2-2</t>
        </is>
      </c>
      <c r="B31" s="295" t="inlineStr">
        <is>
          <t>2-2</t>
        </is>
      </c>
      <c r="C31" s="295" t="inlineStr">
        <is>
          <t>물질 관련 장애 외래일수</t>
        </is>
      </c>
      <c r="D31" s="295" t="inlineStr">
        <is>
          <t>일</t>
        </is>
      </c>
      <c r="E31" s="295" t="inlineStr">
        <is>
          <t>직접</t>
        </is>
      </c>
      <c r="F31" s="300" t="inlineStr">
        <is>
          <t>공개통계·예산서</t>
        </is>
      </c>
      <c r="G31" s="295" t="inlineStr">
        <is>
          <t>심평원</t>
        </is>
      </c>
      <c r="H31" s="301" t="inlineStr"/>
      <c r="I31" s="300" t="n"/>
      <c r="J31" s="298">
        <f>IF(F31="연결","연결",IF(I31="","미입력",IF(F31="가정","가정",IF(OR(F31="문헌",F31="공개통계·예산서"),"대체 입력","입력됨"))))</f>
        <v/>
      </c>
      <c r="K31" s="300" t="inlineStr"/>
    </row>
    <row r="32">
      <c r="A32" s="295" t="inlineStr">
        <is>
          <t>2-2-3</t>
        </is>
      </c>
      <c r="B32" s="295" t="inlineStr">
        <is>
          <t>2-2</t>
        </is>
      </c>
      <c r="C32" s="295" t="inlineStr">
        <is>
          <t>외래 1회 환산 일수</t>
        </is>
      </c>
      <c r="D32" s="295" t="inlineStr">
        <is>
          <t>일</t>
        </is>
      </c>
      <c r="E32" s="295" t="inlineStr">
        <is>
          <t>직접</t>
        </is>
      </c>
      <c r="F32" s="300" t="inlineStr">
        <is>
          <t>가정</t>
        </is>
      </c>
      <c r="G32" s="295" t="inlineStr">
        <is>
          <t>제안서 4장(1/3일)</t>
        </is>
      </c>
      <c r="H32" s="301" t="inlineStr"/>
      <c r="I32" s="304" t="n">
        <v>0.3333333333</v>
      </c>
      <c r="J32" s="298">
        <f>IF(F32="연결","연결",IF(I32="","미입력",IF(F32="가정","가정",IF(OR(F32="문헌",F32="공개통계·예산서"),"대체 입력","입력됨"))))</f>
        <v/>
      </c>
      <c r="K32" s="300" t="inlineStr"/>
    </row>
    <row r="33">
      <c r="A33" s="295" t="inlineStr">
        <is>
          <t>2-3a-1</t>
        </is>
      </c>
      <c r="B33" s="295" t="inlineStr">
        <is>
          <t>2-3a</t>
        </is>
      </c>
      <c r="C33" s="295" t="inlineStr">
        <is>
          <t>마약류 1일 평균 수용인원</t>
        </is>
      </c>
      <c r="D33" s="295" t="inlineStr">
        <is>
          <t>명</t>
        </is>
      </c>
      <c r="E33" s="295" t="inlineStr">
        <is>
          <t>직접</t>
        </is>
      </c>
      <c r="F33" s="300" t="inlineStr">
        <is>
          <t>서식 회신</t>
        </is>
      </c>
      <c r="G33" s="295" t="inlineStr">
        <is>
          <t>서식3 1번(미회신)</t>
        </is>
      </c>
      <c r="H33" s="301" t="inlineStr">
        <is>
          <t>2025</t>
        </is>
      </c>
      <c r="I33" s="300" t="n"/>
      <c r="J33" s="298">
        <f>IF(F33="연결","연결",IF(I33="","미입력",IF(F33="가정","가정",IF(OR(F33="문헌",F33="공개통계·예산서"),"대체 입력","입력됨"))))</f>
        <v/>
      </c>
      <c r="K33" s="300" t="inlineStr">
        <is>
          <t>교정통계연보로 추정 가능</t>
        </is>
      </c>
    </row>
    <row r="34">
      <c r="A34" s="295" t="inlineStr">
        <is>
          <t>2-3b-1</t>
        </is>
      </c>
      <c r="B34" s="295" t="inlineStr">
        <is>
          <t>2-3b</t>
        </is>
      </c>
      <c r="C34" s="295" t="inlineStr">
        <is>
          <t>의존 상태 인원</t>
        </is>
      </c>
      <c r="D34" s="295" t="inlineStr">
        <is>
          <t>명</t>
        </is>
      </c>
      <c r="E34" s="295" t="inlineStr">
        <is>
          <t>직접</t>
        </is>
      </c>
      <c r="F34" s="300" t="inlineStr">
        <is>
          <t>연결</t>
        </is>
      </c>
      <c r="G34" s="295" t="inlineStr">
        <is>
          <t>→ G-04 × G-03 × G-11</t>
        </is>
      </c>
      <c r="H34" s="301" t="inlineStr"/>
      <c r="I34" s="300" t="n"/>
      <c r="J34" s="298">
        <f>IF(F34="연결","연결",IF(I34="","미입력",IF(F34="가정","가정",IF(OR(F34="문헌",F34="공개통계·예산서"),"대체 입력","입력됨"))))</f>
        <v/>
      </c>
      <c r="K34" s="300" t="inlineStr"/>
    </row>
    <row r="35">
      <c r="A35" s="295" t="inlineStr">
        <is>
          <t>2-3c-1</t>
        </is>
      </c>
      <c r="B35" s="295" t="inlineStr">
        <is>
          <t>2-3c</t>
        </is>
      </c>
      <c r="C35" s="295" t="inlineStr">
        <is>
          <t>연령 구간별 사범 수</t>
        </is>
      </c>
      <c r="D35" s="295" t="inlineStr">
        <is>
          <t>명</t>
        </is>
      </c>
      <c r="E35" s="295" t="inlineStr">
        <is>
          <t>직접</t>
        </is>
      </c>
      <c r="F35" s="300" t="inlineStr">
        <is>
          <t>백서</t>
        </is>
      </c>
      <c r="G35" s="295" t="inlineStr">
        <is>
          <t>백서 표 3-6(19세 이하 674 · 20대 6,913 · 30대 6,986 · 40대 3,925 · 50대 2,428 · 60세 이상 1,990)</t>
        </is>
      </c>
      <c r="H35" s="301" t="inlineStr">
        <is>
          <t>2025</t>
        </is>
      </c>
      <c r="I35" s="300" t="n"/>
      <c r="J35" s="298">
        <f>IF(F35="연결","연결",IF(I35="","미입력",IF(F35="가정","가정",IF(OR(F35="문헌",F35="공개통계·예산서"),"대체 입력","입력됨"))))</f>
        <v/>
      </c>
      <c r="K35" s="300" t="inlineStr">
        <is>
          <t>구간 재구성 필요(15~19/20~24/…)</t>
        </is>
      </c>
    </row>
    <row r="36">
      <c r="A36" s="295" t="inlineStr">
        <is>
          <t>2-3c-2</t>
        </is>
      </c>
      <c r="B36" s="295" t="inlineStr">
        <is>
          <t>2-3c</t>
        </is>
      </c>
      <c r="C36" s="295" t="inlineStr">
        <is>
          <t>생산성 손실률 δ</t>
        </is>
      </c>
      <c r="D36" s="295" t="inlineStr">
        <is>
          <t>비율</t>
        </is>
      </c>
      <c r="E36" s="295" t="inlineStr">
        <is>
          <t>직접</t>
        </is>
      </c>
      <c r="F36" s="300" t="inlineStr">
        <is>
          <t>가정</t>
        </is>
      </c>
      <c r="G36" s="295" t="inlineStr">
        <is>
          <t>팀 결정</t>
        </is>
      </c>
      <c r="H36" s="301" t="inlineStr"/>
      <c r="I36" s="300" t="n"/>
      <c r="J36" s="298">
        <f>IF(F36="연결","연결",IF(I36="","미입력",IF(F36="가정","가정",IF(OR(F36="문헌",F36="공개통계·예산서"),"대체 입력","입력됨"))))</f>
        <v/>
      </c>
      <c r="K36" s="300" t="inlineStr"/>
    </row>
    <row r="37">
      <c r="A37" s="295" t="inlineStr">
        <is>
          <t>2-3c-3</t>
        </is>
      </c>
      <c r="B37" s="295" t="inlineStr">
        <is>
          <t>2-3c</t>
        </is>
      </c>
      <c r="C37" s="295" t="inlineStr">
        <is>
          <t>실질임금상승률 g</t>
        </is>
      </c>
      <c r="D37" s="295" t="inlineStr">
        <is>
          <t>비율</t>
        </is>
      </c>
      <c r="E37" s="295" t="inlineStr">
        <is>
          <t>직접</t>
        </is>
      </c>
      <c r="F37" s="300" t="inlineStr">
        <is>
          <t>가정</t>
        </is>
      </c>
      <c r="G37" s="295" t="inlineStr">
        <is>
          <t>팀 결정</t>
        </is>
      </c>
      <c r="H37" s="301" t="inlineStr"/>
      <c r="I37" s="300" t="n"/>
      <c r="J37" s="298">
        <f>IF(F37="연결","연결",IF(I37="","미입력",IF(F37="가정","가정",IF(OR(F37="문헌",F37="공개통계·예산서"),"대체 입력","입력됨"))))</f>
        <v/>
      </c>
      <c r="K37" s="300" t="inlineStr"/>
    </row>
    <row r="38">
      <c r="A38" s="295" t="inlineStr">
        <is>
          <t>2-3c-4</t>
        </is>
      </c>
      <c r="B38" s="295" t="inlineStr">
        <is>
          <t>2-3c</t>
        </is>
      </c>
      <c r="C38" s="295" t="inlineStr">
        <is>
          <t>구간별 잔여 기대근로연수 T_a</t>
        </is>
      </c>
      <c r="D38" s="295" t="inlineStr">
        <is>
          <t>년</t>
        </is>
      </c>
      <c r="E38" s="295" t="inlineStr">
        <is>
          <t>직접</t>
        </is>
      </c>
      <c r="F38" s="300" t="inlineStr">
        <is>
          <t>가정</t>
        </is>
      </c>
      <c r="G38" s="295" t="inlineStr">
        <is>
          <t>근로 종료 연령에서 산출</t>
        </is>
      </c>
      <c r="H38" s="301" t="inlineStr"/>
      <c r="I38" s="300" t="n"/>
      <c r="J38" s="298">
        <f>IF(F38="연결","연결",IF(I38="","미입력",IF(F38="가정","가정",IF(OR(F38="문헌",F38="공개통계·예산서"),"대체 입력","입력됨"))))</f>
        <v/>
      </c>
      <c r="K38" s="300" t="inlineStr"/>
    </row>
    <row r="39">
      <c r="A39" s="295" t="inlineStr">
        <is>
          <t>2-3d-1</t>
        </is>
      </c>
      <c r="B39" s="295" t="inlineStr">
        <is>
          <t>2-3d</t>
        </is>
      </c>
      <c r="C39" s="295" t="inlineStr">
        <is>
          <t>재범 확률 p</t>
        </is>
      </c>
      <c r="D39" s="295" t="inlineStr">
        <is>
          <t>비율</t>
        </is>
      </c>
      <c r="E39" s="295" t="inlineStr">
        <is>
          <t>직접</t>
        </is>
      </c>
      <c r="F39" s="300" t="inlineStr">
        <is>
          <t>문헌</t>
        </is>
      </c>
      <c r="G39" s="295" t="inlineStr">
        <is>
          <t>김도균·나종민(2025) 미이수 집단</t>
        </is>
      </c>
      <c r="H39" s="301" t="inlineStr"/>
      <c r="I39" s="303" t="n">
        <v>0.502</v>
      </c>
      <c r="J39" s="298">
        <f>IF(F39="연결","연결",IF(I39="","미입력",IF(F39="가정","가정",IF(OR(F39="문헌",F39="공개통계·예산서"),"대체 입력","입력됨"))))</f>
        <v/>
      </c>
      <c r="K39" s="300" t="inlineStr">
        <is>
          <t>서식8·9 오면 교체</t>
        </is>
      </c>
    </row>
    <row r="40">
      <c r="A40" s="295" t="inlineStr">
        <is>
          <t>2-3d-2</t>
        </is>
      </c>
      <c r="B40" s="295" t="inlineStr">
        <is>
          <t>2-3d</t>
        </is>
      </c>
      <c r="C40" s="295" t="inlineStr">
        <is>
          <t>재범 시점 t_k</t>
        </is>
      </c>
      <c r="D40" s="295" t="inlineStr">
        <is>
          <t>년</t>
        </is>
      </c>
      <c r="E40" s="295" t="inlineStr">
        <is>
          <t>직접</t>
        </is>
      </c>
      <c r="F40" s="300" t="inlineStr">
        <is>
          <t>서식 회신</t>
        </is>
      </c>
      <c r="G40" s="295" t="inlineStr">
        <is>
          <t>서식8(미회신)</t>
        </is>
      </c>
      <c r="H40" s="301" t="inlineStr"/>
      <c r="I40" s="300" t="n"/>
      <c r="J40" s="298">
        <f>IF(F40="연결","연결",IF(I40="","미입력",IF(F40="가정","가정",IF(OR(F40="문헌",F40="공개통계·예산서"),"대체 입력","입력됨"))))</f>
        <v/>
      </c>
      <c r="K40" s="300" t="inlineStr"/>
    </row>
    <row r="41">
      <c r="A41" s="295" t="inlineStr">
        <is>
          <t>2-3d-3</t>
        </is>
      </c>
      <c r="B41" s="295" t="inlineStr">
        <is>
          <t>2-3d</t>
        </is>
      </c>
      <c r="C41" s="295" t="inlineStr">
        <is>
          <t>1회 비용 C_1회</t>
        </is>
      </c>
      <c r="D41" s="295" t="inlineStr">
        <is>
          <t>원</t>
        </is>
      </c>
      <c r="E41" s="295" t="inlineStr">
        <is>
          <t>직접</t>
        </is>
      </c>
      <c r="F41" s="300" t="inlineStr">
        <is>
          <t>연결</t>
        </is>
      </c>
      <c r="G41" s="295" t="inlineStr">
        <is>
          <t>→ SCᵣ(CB-8 + CB-9)</t>
        </is>
      </c>
      <c r="H41" s="301" t="inlineStr"/>
      <c r="I41" s="300" t="n"/>
      <c r="J41" s="298">
        <f>IF(F41="연결","연결",IF(I41="","미입력",IF(F41="가정","가정",IF(OR(F41="문헌",F41="공개통계·예산서"),"대체 입력","입력됨"))))</f>
        <v/>
      </c>
      <c r="K41" s="300" t="inlineStr"/>
    </row>
    <row r="42">
      <c r="A42" s="295" t="inlineStr">
        <is>
          <t>3-1a-1</t>
        </is>
      </c>
      <c r="B42" s="295" t="inlineStr">
        <is>
          <t>3-1a</t>
        </is>
      </c>
      <c r="C42" s="295" t="inlineStr">
        <is>
          <t>검찰청 세출 결산</t>
        </is>
      </c>
      <c r="D42" s="295" t="inlineStr">
        <is>
          <t>원</t>
        </is>
      </c>
      <c r="E42" s="295" t="inlineStr">
        <is>
          <t>직접</t>
        </is>
      </c>
      <c r="F42" s="300" t="inlineStr">
        <is>
          <t>대검 정보공개</t>
        </is>
      </c>
      <c r="G42" s="295" t="inlineStr">
        <is>
          <t>대검 정보공개 회신(26.10.7)</t>
        </is>
      </c>
      <c r="H42" s="301" t="inlineStr">
        <is>
          <t>2024</t>
        </is>
      </c>
      <c r="I42" s="302" t="n">
        <v>1216261000000</v>
      </c>
      <c r="J42" s="298">
        <f>IF(F42="연결","연결",IF(I42="","미입력",IF(F42="가정","가정",IF(OR(F42="문헌",F42="공개통계·예산서"),"대체 입력","입력됨"))))</f>
        <v/>
      </c>
      <c r="K42" s="300" t="inlineStr">
        <is>
          <t>2025: 1,287,949,000,000</t>
        </is>
      </c>
    </row>
    <row r="43">
      <c r="A43" s="295" t="inlineStr">
        <is>
          <t>3-1a-2</t>
        </is>
      </c>
      <c r="B43" s="295" t="inlineStr">
        <is>
          <t>3-1a</t>
        </is>
      </c>
      <c r="C43" s="295" t="inlineStr">
        <is>
          <t>형사사건 검거인원</t>
        </is>
      </c>
      <c r="D43" s="295" t="inlineStr">
        <is>
          <t>명</t>
        </is>
      </c>
      <c r="E43" s="295" t="inlineStr">
        <is>
          <t>직접</t>
        </is>
      </c>
      <c r="F43" s="300" t="inlineStr">
        <is>
          <t>대검 정보공개</t>
        </is>
      </c>
      <c r="G43" s="295" t="inlineStr">
        <is>
          <t>대검 정보공개 회신(26.10.7)</t>
        </is>
      </c>
      <c r="H43" s="301" t="inlineStr">
        <is>
          <t>2024</t>
        </is>
      </c>
      <c r="I43" s="302" t="n">
        <v>1405185</v>
      </c>
      <c r="J43" s="298">
        <f>IF(F43="연결","연결",IF(I43="","미입력",IF(F43="가정","가정",IF(OR(F43="문헌",F43="공개통계·예산서"),"대체 입력","입력됨"))))</f>
        <v/>
      </c>
      <c r="K43" s="300" t="inlineStr">
        <is>
          <t>2025 미회신</t>
        </is>
      </c>
    </row>
    <row r="44">
      <c r="A44" s="295" t="inlineStr">
        <is>
          <t>3-1a-3</t>
        </is>
      </c>
      <c r="B44" s="295" t="inlineStr">
        <is>
          <t>3-1a</t>
        </is>
      </c>
      <c r="C44" s="295" t="inlineStr">
        <is>
          <t>마약류 검거인원</t>
        </is>
      </c>
      <c r="D44" s="295" t="inlineStr">
        <is>
          <t>명</t>
        </is>
      </c>
      <c r="E44" s="295" t="inlineStr">
        <is>
          <t>보조</t>
        </is>
      </c>
      <c r="F44" s="300" t="inlineStr">
        <is>
          <t>연결</t>
        </is>
      </c>
      <c r="G44" s="295" t="inlineStr">
        <is>
          <t>→ G-04</t>
        </is>
      </c>
      <c r="H44" s="301" t="inlineStr"/>
      <c r="I44" s="300" t="n"/>
      <c r="J44" s="298">
        <f>IF(F44="연결","연결",IF(I44="","미입력",IF(F44="가정","가정",IF(OR(F44="문헌",F44="공개통계·예산서"),"대체 입력","입력됨"))))</f>
        <v/>
      </c>
      <c r="K44" s="300" t="inlineStr"/>
    </row>
    <row r="45">
      <c r="A45" s="295" t="inlineStr">
        <is>
          <t>3-1b-1</t>
        </is>
      </c>
      <c r="B45" s="295" t="inlineStr">
        <is>
          <t>3-1b</t>
        </is>
      </c>
      <c r="C45" s="295" t="inlineStr">
        <is>
          <t>경찰 마약수사 예산·인력</t>
        </is>
      </c>
      <c r="D45" s="295" t="inlineStr">
        <is>
          <t>원</t>
        </is>
      </c>
      <c r="E45" s="295" t="inlineStr">
        <is>
          <t>직접</t>
        </is>
      </c>
      <c r="F45" s="300" t="inlineStr">
        <is>
          <t>공개통계·예산서</t>
        </is>
      </c>
      <c r="G45" s="295" t="inlineStr">
        <is>
          <t>경찰청 예산서</t>
        </is>
      </c>
      <c r="H45" s="301" t="inlineStr"/>
      <c r="I45" s="300" t="n"/>
      <c r="J45" s="298">
        <f>IF(F45="연결","연결",IF(I45="","미입력",IF(F45="가정","가정",IF(OR(F45="문헌",F45="공개통계·예산서"),"대체 입력","입력됨"))))</f>
        <v/>
      </c>
      <c r="K45" s="300" t="inlineStr"/>
    </row>
    <row r="46">
      <c r="A46" s="295" t="inlineStr">
        <is>
          <t>3-1b-2</t>
        </is>
      </c>
      <c r="B46" s="295" t="inlineStr">
        <is>
          <t>3-1b</t>
        </is>
      </c>
      <c r="C46" s="295" t="inlineStr">
        <is>
          <t>관세청 마약 단속 예산</t>
        </is>
      </c>
      <c r="D46" s="295" t="inlineStr">
        <is>
          <t>원</t>
        </is>
      </c>
      <c r="E46" s="295" t="inlineStr">
        <is>
          <t>직접</t>
        </is>
      </c>
      <c r="F46" s="300" t="inlineStr">
        <is>
          <t>공개통계·예산서</t>
        </is>
      </c>
      <c r="G46" s="295" t="inlineStr">
        <is>
          <t>관세청 예산서</t>
        </is>
      </c>
      <c r="H46" s="301" t="inlineStr"/>
      <c r="I46" s="300" t="n"/>
      <c r="J46" s="298">
        <f>IF(F46="연결","연결",IF(I46="","미입력",IF(F46="가정","가정",IF(OR(F46="문헌",F46="공개통계·예산서"),"대체 입력","입력됨"))))</f>
        <v/>
      </c>
      <c r="K46" s="300" t="inlineStr">
        <is>
          <t>밀수 사범 1,772명</t>
        </is>
      </c>
    </row>
    <row r="47">
      <c r="A47" s="295" t="inlineStr">
        <is>
          <t>3-1b-3</t>
        </is>
      </c>
      <c r="B47" s="295" t="inlineStr">
        <is>
          <t>3-1b</t>
        </is>
      </c>
      <c r="C47" s="295" t="inlineStr">
        <is>
          <t>해양경찰 마약 단속 예산</t>
        </is>
      </c>
      <c r="D47" s="295" t="inlineStr">
        <is>
          <t>원</t>
        </is>
      </c>
      <c r="E47" s="295" t="inlineStr">
        <is>
          <t>직접</t>
        </is>
      </c>
      <c r="F47" s="300" t="inlineStr">
        <is>
          <t>공개통계·예산서</t>
        </is>
      </c>
      <c r="G47" s="295" t="inlineStr">
        <is>
          <t>해양경찰청 예산서</t>
        </is>
      </c>
      <c r="H47" s="301" t="inlineStr"/>
      <c r="I47" s="300" t="n"/>
      <c r="J47" s="298">
        <f>IF(F47="연결","연결",IF(I47="","미입력",IF(F47="가정","가정",IF(OR(F47="문헌",F47="공개통계·예산서"),"대체 입력","입력됨"))))</f>
        <v/>
      </c>
      <c r="K47" s="300" t="inlineStr"/>
    </row>
    <row r="48">
      <c r="A48" s="295" t="inlineStr">
        <is>
          <t>3-1b-4</t>
        </is>
      </c>
      <c r="B48" s="295" t="inlineStr">
        <is>
          <t>3-1b</t>
        </is>
      </c>
      <c r="C48" s="295" t="inlineStr">
        <is>
          <t>일반 수사 인력의 마약 사건 배분 비율</t>
        </is>
      </c>
      <c r="D48" s="295" t="inlineStr">
        <is>
          <t>비율</t>
        </is>
      </c>
      <c r="E48" s="295" t="inlineStr">
        <is>
          <t>직접</t>
        </is>
      </c>
      <c r="F48" s="300" t="inlineStr">
        <is>
          <t>가정</t>
        </is>
      </c>
      <c r="G48" s="295" t="inlineStr">
        <is>
          <t>경찰청 범죄통계 기반</t>
        </is>
      </c>
      <c r="H48" s="301" t="inlineStr"/>
      <c r="I48" s="300" t="n"/>
      <c r="J48" s="298">
        <f>IF(F48="연결","연결",IF(I48="","미입력",IF(F48="가정","가정",IF(OR(F48="문헌",F48="공개통계·예산서"),"대체 입력","입력됨"))))</f>
        <v/>
      </c>
      <c r="K48" s="300" t="inlineStr"/>
    </row>
    <row r="49">
      <c r="A49" s="295" t="inlineStr">
        <is>
          <t>3-2-1</t>
        </is>
      </c>
      <c r="B49" s="295" t="inlineStr">
        <is>
          <t>3-2</t>
        </is>
      </c>
      <c r="C49" s="295" t="inlineStr">
        <is>
          <t>마약류 1심 처리 인원</t>
        </is>
      </c>
      <c r="D49" s="295" t="inlineStr">
        <is>
          <t>명</t>
        </is>
      </c>
      <c r="E49" s="295" t="inlineStr">
        <is>
          <t>직접</t>
        </is>
      </c>
      <c r="F49" s="300" t="inlineStr">
        <is>
          <t>백서</t>
        </is>
      </c>
      <c r="G49" s="295" t="inlineStr">
        <is>
          <t>백서 표 3-60</t>
        </is>
      </c>
      <c r="H49" s="301" t="inlineStr">
        <is>
          <t>2025</t>
        </is>
      </c>
      <c r="I49" s="302" t="n">
        <v>5931</v>
      </c>
      <c r="J49" s="298">
        <f>IF(F49="연결","연결",IF(I49="","미입력",IF(F49="가정","가정",IF(OR(F49="문헌",F49="공개통계·예산서"),"대체 입력","입력됨"))))</f>
        <v/>
      </c>
      <c r="K49" s="300" t="inlineStr"/>
    </row>
    <row r="50">
      <c r="A50" s="295" t="inlineStr">
        <is>
          <t>3-2-2</t>
        </is>
      </c>
      <c r="B50" s="295" t="inlineStr">
        <is>
          <t>3-2</t>
        </is>
      </c>
      <c r="C50" s="295" t="inlineStr">
        <is>
          <t>법원 예산</t>
        </is>
      </c>
      <c r="D50" s="295" t="inlineStr">
        <is>
          <t>원</t>
        </is>
      </c>
      <c r="E50" s="295" t="inlineStr">
        <is>
          <t>직접</t>
        </is>
      </c>
      <c r="F50" s="300" t="inlineStr">
        <is>
          <t>공개통계·예산서</t>
        </is>
      </c>
      <c r="G50" s="295" t="inlineStr">
        <is>
          <t>법원 예산서</t>
        </is>
      </c>
      <c r="H50" s="301" t="inlineStr"/>
      <c r="I50" s="300" t="n"/>
      <c r="J50" s="298">
        <f>IF(F50="연결","연결",IF(I50="","미입력",IF(F50="가정","가정",IF(OR(F50="문헌",F50="공개통계·예산서"),"대체 입력","입력됨"))))</f>
        <v/>
      </c>
      <c r="K50" s="300" t="inlineStr"/>
    </row>
    <row r="51">
      <c r="A51" s="295" t="inlineStr">
        <is>
          <t>3-2-3</t>
        </is>
      </c>
      <c r="B51" s="295" t="inlineStr">
        <is>
          <t>3-2</t>
        </is>
      </c>
      <c r="C51" s="295" t="inlineStr">
        <is>
          <t>사건 가중치</t>
        </is>
      </c>
      <c r="D51" s="295" t="inlineStr">
        <is>
          <t>배</t>
        </is>
      </c>
      <c r="E51" s="295" t="inlineStr">
        <is>
          <t>직접</t>
        </is>
      </c>
      <c r="F51" s="300" t="inlineStr">
        <is>
          <t>공개통계·예산서</t>
        </is>
      </c>
      <c r="G51" s="295" t="inlineStr">
        <is>
          <t>사법연감</t>
        </is>
      </c>
      <c r="H51" s="301" t="inlineStr"/>
      <c r="I51" s="300" t="n"/>
      <c r="J51" s="298">
        <f>IF(F51="연결","연결",IF(I51="","미입력",IF(F51="가정","가정",IF(OR(F51="문헌",F51="공개통계·예산서"),"대체 입력","입력됨"))))</f>
        <v/>
      </c>
      <c r="K51" s="300" t="inlineStr"/>
    </row>
    <row r="52">
      <c r="A52" s="295" t="inlineStr">
        <is>
          <t>3-2-4</t>
        </is>
      </c>
      <c r="B52" s="295" t="inlineStr">
        <is>
          <t>3-2</t>
        </is>
      </c>
      <c r="C52" s="295" t="inlineStr">
        <is>
          <t>국선변호 예산 · 마약 사건 선정 비율</t>
        </is>
      </c>
      <c r="D52" s="295" t="inlineStr">
        <is>
          <t>원</t>
        </is>
      </c>
      <c r="E52" s="295" t="inlineStr">
        <is>
          <t>직접</t>
        </is>
      </c>
      <c r="F52" s="300" t="inlineStr">
        <is>
          <t>공개통계·예산서</t>
        </is>
      </c>
      <c r="G52" s="295" t="inlineStr">
        <is>
          <t>법원 예산서·사법연감</t>
        </is>
      </c>
      <c r="H52" s="301" t="inlineStr"/>
      <c r="I52" s="300" t="n"/>
      <c r="J52" s="298">
        <f>IF(F52="연결","연결",IF(I52="","미입력",IF(F52="가정","가정",IF(OR(F52="문헌",F52="공개통계·예산서"),"대체 입력","입력됨"))))</f>
        <v/>
      </c>
      <c r="K52" s="300" t="inlineStr"/>
    </row>
    <row r="53">
      <c r="A53" s="295" t="inlineStr">
        <is>
          <t>3-3a-1</t>
        </is>
      </c>
      <c r="B53" s="295" t="inlineStr">
        <is>
          <t>3-3a</t>
        </is>
      </c>
      <c r="C53" s="295" t="inlineStr">
        <is>
          <t>교정 집행 8항목 합(교정·교화 제외)</t>
        </is>
      </c>
      <c r="D53" s="295" t="inlineStr">
        <is>
          <t>원</t>
        </is>
      </c>
      <c r="E53" s="295" t="inlineStr">
        <is>
          <t>직접</t>
        </is>
      </c>
      <c r="F53" s="300" t="inlineStr">
        <is>
          <t>서식 회신</t>
        </is>
      </c>
      <c r="G53" s="295" t="inlineStr">
        <is>
          <t>서식1 1·2·3·4·5·7·9번(복지과, 26.9.7)</t>
        </is>
      </c>
      <c r="H53" s="301" t="inlineStr">
        <is>
          <t>2025</t>
        </is>
      </c>
      <c r="I53" s="302" t="n">
        <v>1514590000000</v>
      </c>
      <c r="J53" s="298">
        <f>IF(F53="연결","연결",IF(I53="","미입력",IF(F53="가정","가정",IF(OR(F53="문헌",F53="공개통계·예산서"),"대체 입력","입력됨"))))</f>
        <v/>
      </c>
      <c r="K53" s="300" t="inlineStr">
        <is>
          <t>취득비·교도작업특별회계 미회신</t>
        </is>
      </c>
    </row>
    <row r="54">
      <c r="A54" s="295" t="inlineStr">
        <is>
          <t>3-3a-2</t>
        </is>
      </c>
      <c r="B54" s="295" t="inlineStr">
        <is>
          <t>3-3a</t>
        </is>
      </c>
      <c r="C54" s="295" t="inlineStr">
        <is>
          <t>교도소 일반회계 세출 결산</t>
        </is>
      </c>
      <c r="D54" s="295" t="inlineStr">
        <is>
          <t>원</t>
        </is>
      </c>
      <c r="E54" s="295" t="inlineStr">
        <is>
          <t>직접</t>
        </is>
      </c>
      <c r="F54" s="300" t="inlineStr">
        <is>
          <t>서식 회신</t>
        </is>
      </c>
      <c r="G54" s="295" t="inlineStr">
        <is>
          <t>「자료요청 2차」 hwpx(복지과)</t>
        </is>
      </c>
      <c r="H54" s="301" t="inlineStr">
        <is>
          <t>2025</t>
        </is>
      </c>
      <c r="I54" s="302" t="n">
        <v>1699217000000</v>
      </c>
      <c r="J54" s="298">
        <f>IF(F54="연결","연결",IF(I54="","미입력",IF(F54="가정","가정",IF(OR(F54="문헌",F54="공개통계·예산서"),"대체 입력","입력됨"))))</f>
        <v/>
      </c>
      <c r="K54" s="300" t="inlineStr"/>
    </row>
    <row r="55">
      <c r="A55" s="295" t="inlineStr">
        <is>
          <t>3-3a-3</t>
        </is>
      </c>
      <c r="B55" s="295" t="inlineStr">
        <is>
          <t>3-3a</t>
        </is>
      </c>
      <c r="C55" s="295" t="inlineStr">
        <is>
          <t>교정·교화 사업 집행액</t>
        </is>
      </c>
      <c r="D55" s="295" t="inlineStr">
        <is>
          <t>원</t>
        </is>
      </c>
      <c r="E55" s="295" t="inlineStr">
        <is>
          <t>보조</t>
        </is>
      </c>
      <c r="F55" s="300" t="inlineStr">
        <is>
          <t>서식 회신</t>
        </is>
      </c>
      <c r="G55" s="295" t="inlineStr">
        <is>
          <t>서식1 6번(복지과, 26.9.7)</t>
        </is>
      </c>
      <c r="H55" s="301" t="inlineStr">
        <is>
          <t>2025</t>
        </is>
      </c>
      <c r="I55" s="302" t="n">
        <v>11228000000</v>
      </c>
      <c r="J55" s="298">
        <f>IF(F55="연결","연결",IF(I55="","미입력",IF(F55="가정","가정",IF(OR(F55="문헌",F55="공개통계·예산서"),"대체 입력","입력됨"))))</f>
        <v/>
      </c>
      <c r="K55" s="300" t="inlineStr">
        <is>
          <t>재활예산 포함 → 수용비에서 제외</t>
        </is>
      </c>
    </row>
    <row r="56">
      <c r="A56" s="295" t="inlineStr">
        <is>
          <t>3-3a-4</t>
        </is>
      </c>
      <c r="B56" s="295" t="inlineStr">
        <is>
          <t>3-3a</t>
        </is>
      </c>
      <c r="C56" s="295" t="inlineStr">
        <is>
          <t>1일 평균 수용인원</t>
        </is>
      </c>
      <c r="D56" s="295" t="inlineStr">
        <is>
          <t>명</t>
        </is>
      </c>
      <c r="E56" s="295" t="inlineStr">
        <is>
          <t>보조</t>
        </is>
      </c>
      <c r="F56" s="300" t="inlineStr">
        <is>
          <t>연결</t>
        </is>
      </c>
      <c r="G56" s="295" t="inlineStr">
        <is>
          <t>→ G-05</t>
        </is>
      </c>
      <c r="H56" s="301" t="inlineStr"/>
      <c r="I56" s="300" t="n"/>
      <c r="J56" s="298">
        <f>IF(F56="연결","연결",IF(I56="","미입력",IF(F56="가정","가정",IF(OR(F56="문헌",F56="공개통계·예산서"),"대체 입력","입력됨"))))</f>
        <v/>
      </c>
      <c r="K56" s="300" t="inlineStr"/>
    </row>
    <row r="57">
      <c r="A57" s="295" t="inlineStr">
        <is>
          <t>3-3a-5</t>
        </is>
      </c>
      <c r="B57" s="295" t="inlineStr">
        <is>
          <t>3-3a</t>
        </is>
      </c>
      <c r="C57" s="295" t="inlineStr">
        <is>
          <t>마약류 수용인원</t>
        </is>
      </c>
      <c r="D57" s="295" t="inlineStr">
        <is>
          <t>명</t>
        </is>
      </c>
      <c r="E57" s="295" t="inlineStr">
        <is>
          <t>보조</t>
        </is>
      </c>
      <c r="F57" s="300" t="inlineStr">
        <is>
          <t>연결</t>
        </is>
      </c>
      <c r="G57" s="295" t="inlineStr">
        <is>
          <t>→ G-06</t>
        </is>
      </c>
      <c r="H57" s="301" t="inlineStr"/>
      <c r="I57" s="300" t="n"/>
      <c r="J57" s="298">
        <f>IF(F57="연결","연결",IF(I57="","미입력",IF(F57="가정","가정",IF(OR(F57="문헌",F57="공개통계·예산서"),"대체 입력","입력됨"))))</f>
        <v/>
      </c>
      <c r="K57" s="300" t="inlineStr"/>
    </row>
    <row r="58">
      <c r="A58" s="295" t="inlineStr">
        <is>
          <t>3-3b-1</t>
        </is>
      </c>
      <c r="B58" s="295" t="inlineStr">
        <is>
          <t>3-3b</t>
        </is>
      </c>
      <c r="C58" s="295" t="inlineStr">
        <is>
          <t>보호관찰 대상 마약류사범</t>
        </is>
      </c>
      <c r="D58" s="295" t="inlineStr">
        <is>
          <t>명</t>
        </is>
      </c>
      <c r="E58" s="295" t="inlineStr">
        <is>
          <t>직접</t>
        </is>
      </c>
      <c r="F58" s="300" t="inlineStr">
        <is>
          <t>별도요청</t>
        </is>
      </c>
      <c r="G58" s="295" t="inlineStr">
        <is>
          <t>별도요청 5번(범죄예방정책국, 26.9.29)</t>
        </is>
      </c>
      <c r="H58" s="301" t="inlineStr">
        <is>
          <t>2025</t>
        </is>
      </c>
      <c r="I58" s="302" t="n">
        <v>5391</v>
      </c>
      <c r="J58" s="298">
        <f>IF(F58="연결","연결",IF(I58="","미입력",IF(F58="가정","가정",IF(OR(F58="문헌",F58="공개통계·예산서"),"대체 입력","입력됨"))))</f>
        <v/>
      </c>
      <c r="K58" s="300" t="inlineStr"/>
    </row>
    <row r="59">
      <c r="A59" s="295" t="inlineStr">
        <is>
          <t>3-3b-2</t>
        </is>
      </c>
      <c r="B59" s="295" t="inlineStr">
        <is>
          <t>3-3b</t>
        </is>
      </c>
      <c r="C59" s="295" t="inlineStr">
        <is>
          <t>치료명령·치료조건부 가석방 인원</t>
        </is>
      </c>
      <c r="D59" s="295" t="inlineStr">
        <is>
          <t>명</t>
        </is>
      </c>
      <c r="E59" s="295" t="inlineStr">
        <is>
          <t>보조</t>
        </is>
      </c>
      <c r="F59" s="300" t="inlineStr">
        <is>
          <t>별도요청</t>
        </is>
      </c>
      <c r="G59" s="295" t="inlineStr">
        <is>
          <t>별도요청 6번</t>
        </is>
      </c>
      <c r="H59" s="301" t="inlineStr">
        <is>
          <t>2025</t>
        </is>
      </c>
      <c r="I59" s="300" t="n">
        <v>332</v>
      </c>
      <c r="J59" s="298">
        <f>IF(F59="연결","연결",IF(I59="","미입력",IF(F59="가정","가정",IF(OR(F59="문헌",F59="공개통계·예산서"),"대체 입력","입력됨"))))</f>
        <v/>
      </c>
      <c r="K59" s="300" t="inlineStr"/>
    </row>
    <row r="60">
      <c r="A60" s="295" t="inlineStr">
        <is>
          <t>3-3b-3</t>
        </is>
      </c>
      <c r="B60" s="295" t="inlineStr">
        <is>
          <t>3-3b</t>
        </is>
      </c>
      <c r="C60" s="295" t="inlineStr">
        <is>
          <t>보호관찰 전체 예산</t>
        </is>
      </c>
      <c r="D60" s="295" t="inlineStr">
        <is>
          <t>원</t>
        </is>
      </c>
      <c r="E60" s="295" t="inlineStr">
        <is>
          <t>직접</t>
        </is>
      </c>
      <c r="F60" s="300" t="inlineStr">
        <is>
          <t>공개통계·예산서</t>
        </is>
      </c>
      <c r="G60" s="295" t="inlineStr">
        <is>
          <t>범죄예방정책국 예산서</t>
        </is>
      </c>
      <c r="H60" s="301" t="inlineStr"/>
      <c r="I60" s="300" t="n"/>
      <c r="J60" s="298">
        <f>IF(F60="연결","연결",IF(I60="","미입력",IF(F60="가정","가정",IF(OR(F60="문헌",F60="공개통계·예산서"),"대체 입력","입력됨"))))</f>
        <v/>
      </c>
      <c r="K60" s="300" t="inlineStr">
        <is>
          <t>별도요청 7번 산출 불가 회신</t>
        </is>
      </c>
    </row>
    <row r="61">
      <c r="A61" s="295" t="inlineStr">
        <is>
          <t>3-3b-4</t>
        </is>
      </c>
      <c r="B61" s="295" t="inlineStr">
        <is>
          <t>3-3b</t>
        </is>
      </c>
      <c r="C61" s="295" t="inlineStr">
        <is>
          <t>보호관찰 전체 대상 인원</t>
        </is>
      </c>
      <c r="D61" s="295" t="inlineStr">
        <is>
          <t>명</t>
        </is>
      </c>
      <c r="E61" s="295" t="inlineStr">
        <is>
          <t>직접</t>
        </is>
      </c>
      <c r="F61" s="300" t="inlineStr">
        <is>
          <t>공개통계·예산서</t>
        </is>
      </c>
      <c r="G61" s="295" t="inlineStr">
        <is>
          <t>범죄예방정책 통계</t>
        </is>
      </c>
      <c r="H61" s="301" t="inlineStr"/>
      <c r="I61" s="300" t="n"/>
      <c r="J61" s="298">
        <f>IF(F61="연결","연결",IF(I61="","미입력",IF(F61="가정","가정",IF(OR(F61="문헌",F61="공개통계·예산서"),"대체 입력","입력됨"))))</f>
        <v/>
      </c>
      <c r="K61" s="300" t="inlineStr">
        <is>
          <t>마약류 비중 배분</t>
        </is>
      </c>
    </row>
    <row r="62">
      <c r="A62" s="295" t="inlineStr">
        <is>
          <t>3-3c-1</t>
        </is>
      </c>
      <c r="B62" s="295" t="inlineStr">
        <is>
          <t>3-3c</t>
        </is>
      </c>
      <c r="C62" s="295" t="inlineStr">
        <is>
          <t>국립법무병원 결산</t>
        </is>
      </c>
      <c r="D62" s="295" t="inlineStr">
        <is>
          <t>원</t>
        </is>
      </c>
      <c r="E62" s="295" t="inlineStr">
        <is>
          <t>직접</t>
        </is>
      </c>
      <c r="F62" s="300" t="inlineStr">
        <is>
          <t>별도요청</t>
        </is>
      </c>
      <c r="G62" s="295" t="inlineStr">
        <is>
          <t>별도요청 8번(치료처우과, 26.9.29)</t>
        </is>
      </c>
      <c r="H62" s="301" t="inlineStr">
        <is>
          <t>2025</t>
        </is>
      </c>
      <c r="I62" s="302" t="n">
        <v>12357000000</v>
      </c>
      <c r="J62" s="298">
        <f>IF(F62="연결","연결",IF(I62="","미입력",IF(F62="가정","가정",IF(OR(F62="문헌",F62="공개통계·예산서"),"대체 입력","입력됨"))))</f>
        <v/>
      </c>
      <c r="K62" s="300" t="inlineStr"/>
    </row>
    <row r="63">
      <c r="A63" s="295" t="inlineStr">
        <is>
          <t>3-3c-2</t>
        </is>
      </c>
      <c r="B63" s="295" t="inlineStr">
        <is>
          <t>3-3c</t>
        </is>
      </c>
      <c r="C63" s="295" t="inlineStr">
        <is>
          <t>약물중독(2호) 연평균 수용인원</t>
        </is>
      </c>
      <c r="D63" s="295" t="inlineStr">
        <is>
          <t>명</t>
        </is>
      </c>
      <c r="E63" s="295" t="inlineStr">
        <is>
          <t>직접</t>
        </is>
      </c>
      <c r="F63" s="300" t="inlineStr">
        <is>
          <t>별도요청</t>
        </is>
      </c>
      <c r="G63" s="295" t="inlineStr">
        <is>
          <t>별도요청 9번</t>
        </is>
      </c>
      <c r="H63" s="301" t="inlineStr">
        <is>
          <t>2025</t>
        </is>
      </c>
      <c r="I63" s="300" t="n">
        <v>24</v>
      </c>
      <c r="J63" s="298">
        <f>IF(F63="연결","연결",IF(I63="","미입력",IF(F63="가정","가정",IF(OR(F63="문헌",F63="공개통계·예산서"),"대체 입력","입력됨"))))</f>
        <v/>
      </c>
      <c r="K63" s="300" t="inlineStr"/>
    </row>
    <row r="64">
      <c r="A64" s="295" t="inlineStr">
        <is>
          <t>3-3c-3</t>
        </is>
      </c>
      <c r="B64" s="295" t="inlineStr">
        <is>
          <t>3-3c</t>
        </is>
      </c>
      <c r="C64" s="295" t="inlineStr">
        <is>
          <t>국립법무병원 전체 연평균 수용인원</t>
        </is>
      </c>
      <c r="D64" s="295" t="inlineStr">
        <is>
          <t>명</t>
        </is>
      </c>
      <c r="E64" s="295" t="inlineStr">
        <is>
          <t>직접</t>
        </is>
      </c>
      <c r="F64" s="300" t="inlineStr">
        <is>
          <t>공개통계·예산서</t>
        </is>
      </c>
      <c r="G64" s="295" t="inlineStr">
        <is>
          <t>국립법무병원 통계</t>
        </is>
      </c>
      <c r="H64" s="301" t="inlineStr"/>
      <c r="I64" s="300" t="n"/>
      <c r="J64" s="298">
        <f>IF(F64="연결","연결",IF(I64="","미입력",IF(F64="가정","가정",IF(OR(F64="문헌",F64="공개통계·예산서"),"대체 입력","입력됨"))))</f>
        <v/>
      </c>
      <c r="K64" s="300" t="inlineStr">
        <is>
          <t>2호 배분 비율</t>
        </is>
      </c>
    </row>
    <row r="65">
      <c r="A65" s="295" t="inlineStr">
        <is>
          <t>4-1-1</t>
        </is>
      </c>
      <c r="B65" s="295" t="inlineStr">
        <is>
          <t>4-1</t>
        </is>
      </c>
      <c r="C65" s="295" t="inlineStr">
        <is>
          <t>범행 시 약물 상태 범죄 건수(유형별)</t>
        </is>
      </c>
      <c r="D65" s="295" t="inlineStr">
        <is>
          <t>건</t>
        </is>
      </c>
      <c r="E65" s="295" t="inlineStr">
        <is>
          <t>직접</t>
        </is>
      </c>
      <c r="F65" s="300" t="inlineStr">
        <is>
          <t>공개통계·예산서</t>
        </is>
      </c>
      <c r="G65" s="295" t="inlineStr">
        <is>
          <t>대검찰청 범죄분석</t>
        </is>
      </c>
      <c r="H65" s="301" t="inlineStr"/>
      <c r="I65" s="300" t="n"/>
      <c r="J65" s="298">
        <f>IF(F65="연결","연결",IF(I65="","미입력",IF(F65="가정","가정",IF(OR(F65="문헌",F65="공개통계·예산서"),"대체 입력","입력됨"))))</f>
        <v/>
      </c>
      <c r="K65" s="300" t="inlineStr"/>
    </row>
    <row r="66">
      <c r="A66" s="295" t="inlineStr">
        <is>
          <t>4-1-2</t>
        </is>
      </c>
      <c r="B66" s="295" t="inlineStr">
        <is>
          <t>4-1</t>
        </is>
      </c>
      <c r="C66" s="295" t="inlineStr">
        <is>
          <t>약물운전 사고 건수</t>
        </is>
      </c>
      <c r="D66" s="295" t="inlineStr">
        <is>
          <t>건</t>
        </is>
      </c>
      <c r="E66" s="295" t="inlineStr">
        <is>
          <t>직접</t>
        </is>
      </c>
      <c r="F66" s="300" t="inlineStr">
        <is>
          <t>공개통계·예산서</t>
        </is>
      </c>
      <c r="G66" s="295" t="inlineStr">
        <is>
          <t>경찰청 통계</t>
        </is>
      </c>
      <c r="H66" s="301" t="inlineStr"/>
      <c r="I66" s="300" t="n"/>
      <c r="J66" s="298">
        <f>IF(F66="연결","연결",IF(I66="","미입력",IF(F66="가정","가정",IF(OR(F66="문헌",F66="공개통계·예산서"),"대체 입력","입력됨"))))</f>
        <v/>
      </c>
      <c r="K66" s="300" t="inlineStr"/>
    </row>
    <row r="67">
      <c r="A67" s="295" t="inlineStr">
        <is>
          <t>4-1-3</t>
        </is>
      </c>
      <c r="B67" s="295" t="inlineStr">
        <is>
          <t>4-1</t>
        </is>
      </c>
      <c r="C67" s="295" t="inlineStr">
        <is>
          <t>범죄유형별 피해 원단위</t>
        </is>
      </c>
      <c r="D67" s="295" t="inlineStr">
        <is>
          <t>원/건</t>
        </is>
      </c>
      <c r="E67" s="295" t="inlineStr">
        <is>
          <t>직접</t>
        </is>
      </c>
      <c r="F67" s="300" t="inlineStr">
        <is>
          <t>가정</t>
        </is>
      </c>
      <c r="G67" s="295" t="inlineStr">
        <is>
          <t>Heeks et al.(2018) 환율·구매력 환산</t>
        </is>
      </c>
      <c r="H67" s="301" t="inlineStr"/>
      <c r="I67" s="300" t="n"/>
      <c r="J67" s="298">
        <f>IF(F67="연결","연결",IF(I67="","미입력",IF(F67="가정","가정",IF(OR(F67="문헌",F67="공개통계·예산서"),"대체 입력","입력됨"))))</f>
        <v/>
      </c>
      <c r="K67" s="300" t="inlineStr">
        <is>
          <t>환산 방법 명시</t>
        </is>
      </c>
    </row>
    <row r="68">
      <c r="A68" s="295" t="inlineStr">
        <is>
          <t>4-2a-1</t>
        </is>
      </c>
      <c r="B68" s="295" t="inlineStr">
        <is>
          <t>4-2a</t>
        </is>
      </c>
      <c r="C68" s="295" t="inlineStr">
        <is>
          <t>2차 범죄·사고 사망자 수</t>
        </is>
      </c>
      <c r="D68" s="295" t="inlineStr">
        <is>
          <t>명</t>
        </is>
      </c>
      <c r="E68" s="295" t="inlineStr">
        <is>
          <t>직접</t>
        </is>
      </c>
      <c r="F68" s="300" t="inlineStr">
        <is>
          <t>공개통계·예산서</t>
        </is>
      </c>
      <c r="G68" s="295" t="inlineStr">
        <is>
          <t>대검·경찰청</t>
        </is>
      </c>
      <c r="H68" s="301" t="inlineStr"/>
      <c r="I68" s="300" t="n"/>
      <c r="J68" s="298">
        <f>IF(F68="연결","연결",IF(I68="","미입력",IF(F68="가정","가정",IF(OR(F68="문헌",F68="공개통계·예산서"),"대체 입력","입력됨"))))</f>
        <v/>
      </c>
      <c r="K68" s="300" t="inlineStr"/>
    </row>
    <row r="69">
      <c r="A69" s="295" t="inlineStr">
        <is>
          <t>4-2a-2</t>
        </is>
      </c>
      <c r="B69" s="295" t="inlineStr">
        <is>
          <t>4-2a</t>
        </is>
      </c>
      <c r="C69" s="295" t="inlineStr">
        <is>
          <t>2차 범죄·사고 부상자 수</t>
        </is>
      </c>
      <c r="D69" s="295" t="inlineStr">
        <is>
          <t>명</t>
        </is>
      </c>
      <c r="E69" s="295" t="inlineStr">
        <is>
          <t>직접</t>
        </is>
      </c>
      <c r="F69" s="300" t="inlineStr">
        <is>
          <t>공개통계·예산서</t>
        </is>
      </c>
      <c r="G69" s="295" t="inlineStr">
        <is>
          <t>대검·경찰청</t>
        </is>
      </c>
      <c r="H69" s="301" t="inlineStr"/>
      <c r="I69" s="300" t="n"/>
      <c r="J69" s="298">
        <f>IF(F69="연결","연결",IF(I69="","미입력",IF(F69="가정","가정",IF(OR(F69="문헌",F69="공개통계·예산서"),"대체 입력","입력됨"))))</f>
        <v/>
      </c>
      <c r="K69" s="300" t="inlineStr"/>
    </row>
    <row r="70">
      <c r="A70" s="295" t="inlineStr">
        <is>
          <t>4-2a-3</t>
        </is>
      </c>
      <c r="B70" s="295" t="inlineStr">
        <is>
          <t>4-2a</t>
        </is>
      </c>
      <c r="C70" s="295" t="inlineStr">
        <is>
          <t>사망 PGS 원단위</t>
        </is>
      </c>
      <c r="D70" s="295" t="inlineStr">
        <is>
          <t>원/명</t>
        </is>
      </c>
      <c r="E70" s="295" t="inlineStr">
        <is>
          <t>직접</t>
        </is>
      </c>
      <c r="F70" s="300" t="inlineStr">
        <is>
          <t>공개통계·예산서</t>
        </is>
      </c>
      <c r="G70" s="295" t="inlineStr">
        <is>
          <t>한국교통연구원(심상우 외, 2023)</t>
        </is>
      </c>
      <c r="H70" s="301" t="inlineStr"/>
      <c r="I70" s="300" t="n"/>
      <c r="J70" s="298">
        <f>IF(F70="연결","연결",IF(I70="","미입력",IF(F70="가정","가정",IF(OR(F70="문헌",F70="공개통계·예산서"),"대체 입력","입력됨"))))</f>
        <v/>
      </c>
      <c r="K70" s="300" t="inlineStr"/>
    </row>
    <row r="71">
      <c r="A71" s="295" t="inlineStr">
        <is>
          <t>4-2a-4</t>
        </is>
      </c>
      <c r="B71" s="295" t="inlineStr">
        <is>
          <t>4-2a</t>
        </is>
      </c>
      <c r="C71" s="295" t="inlineStr">
        <is>
          <t>중상 PGS 원단위</t>
        </is>
      </c>
      <c r="D71" s="295" t="inlineStr">
        <is>
          <t>원/명</t>
        </is>
      </c>
      <c r="E71" s="295" t="inlineStr">
        <is>
          <t>직접</t>
        </is>
      </c>
      <c r="F71" s="300" t="inlineStr">
        <is>
          <t>공개통계·예산서</t>
        </is>
      </c>
      <c r="G71" s="295" t="inlineStr">
        <is>
          <t>한국교통연구원(심상우 외, 2023)</t>
        </is>
      </c>
      <c r="H71" s="301" t="inlineStr"/>
      <c r="I71" s="300" t="n"/>
      <c r="J71" s="298">
        <f>IF(F71="연결","연결",IF(I71="","미입력",IF(F71="가정","가정",IF(OR(F71="문헌",F71="공개통계·예산서"),"대체 입력","입력됨"))))</f>
        <v/>
      </c>
      <c r="K71" s="300" t="inlineStr"/>
    </row>
    <row r="72">
      <c r="A72" s="295" t="inlineStr">
        <is>
          <t>4-2b-1</t>
        </is>
      </c>
      <c r="B72" s="295" t="inlineStr">
        <is>
          <t>4-2b</t>
        </is>
      </c>
      <c r="C72" s="295" t="inlineStr">
        <is>
          <t>적용 인원(의존 상태)</t>
        </is>
      </c>
      <c r="D72" s="295" t="inlineStr">
        <is>
          <t>명</t>
        </is>
      </c>
      <c r="E72" s="295" t="inlineStr">
        <is>
          <t>직접</t>
        </is>
      </c>
      <c r="F72" s="300" t="inlineStr">
        <is>
          <t>연결</t>
        </is>
      </c>
      <c r="G72" s="295" t="inlineStr">
        <is>
          <t>→ 2-3b-1</t>
        </is>
      </c>
      <c r="H72" s="301" t="inlineStr"/>
      <c r="I72" s="300" t="n"/>
      <c r="J72" s="298">
        <f>IF(F72="연결","연결",IF(I72="","미입력",IF(F72="가정","가정",IF(OR(F72="문헌",F72="공개통계·예산서"),"대체 입력","입력됨"))))</f>
        <v/>
      </c>
      <c r="K72" s="300" t="inlineStr">
        <is>
          <t>S3에 따름</t>
        </is>
      </c>
    </row>
    <row r="73">
      <c r="A73" s="295" t="inlineStr">
        <is>
          <t>4-3-1</t>
        </is>
      </c>
      <c r="B73" s="295" t="inlineStr">
        <is>
          <t>4-3</t>
        </is>
      </c>
      <c r="C73" s="295" t="inlineStr">
        <is>
          <t>가족 돌봄 시간</t>
        </is>
      </c>
      <c r="D73" s="295" t="inlineStr">
        <is>
          <t>시간</t>
        </is>
      </c>
      <c r="E73" s="295" t="inlineStr">
        <is>
          <t>직접</t>
        </is>
      </c>
      <c r="F73" s="300" t="inlineStr">
        <is>
          <t>설문</t>
        </is>
      </c>
      <c r="G73" s="295" t="inlineStr">
        <is>
          <t>CVM 설문 문항 추가 시</t>
        </is>
      </c>
      <c r="H73" s="301" t="inlineStr"/>
      <c r="I73" s="300" t="n"/>
      <c r="J73" s="298">
        <f>IF(F73="연결","연결",IF(I73="","미입력",IF(F73="가정","가정",IF(OR(F73="문헌",F73="공개통계·예산서"),"대체 입력","입력됨"))))</f>
        <v/>
      </c>
      <c r="K73" s="300" t="inlineStr"/>
    </row>
    <row r="74">
      <c r="A74" s="295" t="inlineStr">
        <is>
          <t>4-3-2</t>
        </is>
      </c>
      <c r="B74" s="295" t="inlineStr">
        <is>
          <t>4-3</t>
        </is>
      </c>
      <c r="C74" s="295" t="inlineStr">
        <is>
          <t>돌봄 대체임금</t>
        </is>
      </c>
      <c r="D74" s="295" t="inlineStr">
        <is>
          <t>원/시간</t>
        </is>
      </c>
      <c r="E74" s="295" t="inlineStr">
        <is>
          <t>직접</t>
        </is>
      </c>
      <c r="F74" s="300" t="inlineStr">
        <is>
          <t>공개통계·예산서</t>
        </is>
      </c>
      <c r="G74" s="295" t="inlineStr">
        <is>
          <t>고용노동부</t>
        </is>
      </c>
      <c r="H74" s="301" t="inlineStr"/>
      <c r="I74" s="300" t="n"/>
      <c r="J74" s="298">
        <f>IF(F74="연결","연결",IF(I74="","미입력",IF(F74="가정","가정",IF(OR(F74="문헌",F74="공개통계·예산서"),"대체 입력","입력됨"))))</f>
        <v/>
      </c>
      <c r="K74" s="300" t="inlineStr"/>
    </row>
    <row r="75">
      <c r="A75" s="295" t="inlineStr">
        <is>
          <t>5-1-1</t>
        </is>
      </c>
      <c r="B75" s="295" t="inlineStr">
        <is>
          <t>5-1</t>
        </is>
      </c>
      <c r="C75" s="295" t="inlineStr">
        <is>
          <t>마약류 예방교육·홍보 예산</t>
        </is>
      </c>
      <c r="D75" s="295" t="inlineStr">
        <is>
          <t>원</t>
        </is>
      </c>
      <c r="E75" s="295" t="inlineStr">
        <is>
          <t>직접</t>
        </is>
      </c>
      <c r="F75" s="300" t="inlineStr">
        <is>
          <t>공개통계·예산서</t>
        </is>
      </c>
      <c r="G75" s="295" t="inlineStr">
        <is>
          <t>「제1차 마약류 관리 기본계획」 소요예산, 부처 예산서</t>
        </is>
      </c>
      <c r="H75" s="301" t="inlineStr">
        <is>
          <t>2025</t>
        </is>
      </c>
      <c r="I75" s="300" t="n"/>
      <c r="J75" s="298">
        <f>IF(F75="연결","연결",IF(I75="","미입력",IF(F75="가정","가정",IF(OR(F75="문헌",F75="공개통계·예산서"),"대체 입력","입력됨"))))</f>
        <v/>
      </c>
      <c r="K75" s="300" t="inlineStr"/>
    </row>
    <row r="76">
      <c r="A76" s="295" t="inlineStr">
        <is>
          <t>5-1-2</t>
        </is>
      </c>
      <c r="B76" s="295" t="inlineStr">
        <is>
          <t>5-1</t>
        </is>
      </c>
      <c r="C76" s="295" t="inlineStr">
        <is>
          <t>마약류 관련 R&amp;D 예산</t>
        </is>
      </c>
      <c r="D76" s="295" t="inlineStr">
        <is>
          <t>원</t>
        </is>
      </c>
      <c r="E76" s="295" t="inlineStr">
        <is>
          <t>직접</t>
        </is>
      </c>
      <c r="F76" s="300" t="inlineStr">
        <is>
          <t>공개통계·예산서</t>
        </is>
      </c>
      <c r="G76" s="295" t="inlineStr">
        <is>
          <t>부처 예산서</t>
        </is>
      </c>
      <c r="H76" s="301" t="inlineStr">
        <is>
          <t>2025</t>
        </is>
      </c>
      <c r="I76" s="300" t="n"/>
      <c r="J76" s="298">
        <f>IF(F76="연결","연결",IF(I76="","미입력",IF(F76="가정","가정",IF(OR(F76="문헌",F76="공개통계·예산서"),"대체 입력","입력됨"))))</f>
        <v/>
      </c>
      <c r="K76" s="300" t="inlineStr"/>
    </row>
    <row r="77">
      <c r="A77" s="295" t="inlineStr">
        <is>
          <t>5-2a-1</t>
        </is>
      </c>
      <c r="B77" s="295" t="inlineStr">
        <is>
          <t>5-2a</t>
        </is>
      </c>
      <c r="C77" s="295" t="inlineStr">
        <is>
          <t>1인당 지불용의액(WTP)</t>
        </is>
      </c>
      <c r="D77" s="295" t="inlineStr">
        <is>
          <t>원</t>
        </is>
      </c>
      <c r="E77" s="295" t="inlineStr">
        <is>
          <t>직접</t>
        </is>
      </c>
      <c r="F77" s="300" t="inlineStr">
        <is>
          <t>설문</t>
        </is>
      </c>
      <c r="G77" s="295" t="inlineStr">
        <is>
          <t>연구진 CVM 설문(N=1,000)</t>
        </is>
      </c>
      <c r="H77" s="301" t="inlineStr"/>
      <c r="I77" s="300" t="n"/>
      <c r="J77" s="298">
        <f>IF(F77="연결","연결",IF(I77="","미입력",IF(F77="가정","가정",IF(OR(F77="문헌",F77="공개통계·예산서"),"대체 입력","입력됨"))))</f>
        <v/>
      </c>
      <c r="K77" s="300" t="inlineStr">
        <is>
          <t>미실시</t>
        </is>
      </c>
    </row>
    <row r="78">
      <c r="A78" s="295" t="inlineStr">
        <is>
          <t>5-2b-1</t>
        </is>
      </c>
      <c r="B78" s="295" t="inlineStr">
        <is>
          <t>5-2b</t>
        </is>
      </c>
      <c r="C78" s="295" t="inlineStr">
        <is>
          <t>방어행동 유형별 실행률</t>
        </is>
      </c>
      <c r="D78" s="295" t="inlineStr">
        <is>
          <t>비율</t>
        </is>
      </c>
      <c r="E78" s="295" t="inlineStr">
        <is>
          <t>직접</t>
        </is>
      </c>
      <c r="F78" s="300" t="inlineStr">
        <is>
          <t>설문</t>
        </is>
      </c>
      <c r="G78" s="295" t="inlineStr">
        <is>
          <t>연구진 설문</t>
        </is>
      </c>
      <c r="H78" s="301" t="inlineStr"/>
      <c r="I78" s="300" t="n"/>
      <c r="J78" s="298">
        <f>IF(F78="연결","연결",IF(I78="","미입력",IF(F78="가정","가정",IF(OR(F78="문헌",F78="공개통계·예산서"),"대체 입력","입력됨"))))</f>
        <v/>
      </c>
      <c r="K78" s="300" t="inlineStr"/>
    </row>
    <row r="79">
      <c r="A79" s="295" t="inlineStr">
        <is>
          <t>5-2b-2</t>
        </is>
      </c>
      <c r="B79" s="295" t="inlineStr">
        <is>
          <t>5-2b</t>
        </is>
      </c>
      <c r="C79" s="295" t="inlineStr">
        <is>
          <t>방어행동 유형별 연간 지출</t>
        </is>
      </c>
      <c r="D79" s="295" t="inlineStr">
        <is>
          <t>원</t>
        </is>
      </c>
      <c r="E79" s="295" t="inlineStr">
        <is>
          <t>직접</t>
        </is>
      </c>
      <c r="F79" s="300" t="inlineStr">
        <is>
          <t>설문</t>
        </is>
      </c>
      <c r="G79" s="295" t="inlineStr">
        <is>
          <t>연구진 설문 · Heeks et al.(2018)</t>
        </is>
      </c>
      <c r="H79" s="301" t="inlineStr"/>
      <c r="I79" s="300" t="n"/>
      <c r="J79" s="298">
        <f>IF(F79="연결","연결",IF(I79="","미입력",IF(F79="가정","가정",IF(OR(F79="문헌",F79="공개통계·예산서"),"대체 입력","입력됨"))))</f>
        <v/>
      </c>
      <c r="K79" s="300" t="inlineStr"/>
    </row>
    <row r="80">
      <c r="A80" s="295" t="inlineStr">
        <is>
          <t>6-1-1</t>
        </is>
      </c>
      <c r="B80" s="295" t="inlineStr">
        <is>
          <t>6-1</t>
        </is>
      </c>
      <c r="C80" s="295" t="inlineStr">
        <is>
          <t>N* 실질 사용자 수</t>
        </is>
      </c>
      <c r="D80" s="295" t="inlineStr">
        <is>
          <t>명</t>
        </is>
      </c>
      <c r="E80" s="295" t="inlineStr">
        <is>
          <t>직접</t>
        </is>
      </c>
      <c r="F80" s="300" t="inlineStr">
        <is>
          <t>연결</t>
        </is>
      </c>
      <c r="G80" s="295" t="inlineStr">
        <is>
          <t>→ G-04 × G-03</t>
        </is>
      </c>
      <c r="H80" s="301" t="inlineStr"/>
      <c r="I80" s="300" t="n"/>
      <c r="J80" s="298">
        <f>IF(F80="연결","연결",IF(I80="","미입력",IF(F80="가정","가정",IF(OR(F80="문헌",F80="공개통계·예산서"),"대체 입력","입력됨"))))</f>
        <v/>
      </c>
      <c r="K80" s="300" t="inlineStr">
        <is>
          <t>668,624명</t>
        </is>
      </c>
    </row>
    <row r="81">
      <c r="A81" s="295" t="inlineStr">
        <is>
          <t>6-2-1</t>
        </is>
      </c>
      <c r="B81" s="295" t="inlineStr">
        <is>
          <t>6-2</t>
        </is>
      </c>
      <c r="C81" s="295" t="inlineStr">
        <is>
          <t>박성수(2018) 사회적 비용 총액</t>
        </is>
      </c>
      <c r="D81" s="295" t="inlineStr">
        <is>
          <t>원</t>
        </is>
      </c>
      <c r="E81" s="295" t="inlineStr">
        <is>
          <t>직접</t>
        </is>
      </c>
      <c r="F81" s="300" t="inlineStr">
        <is>
          <t>문헌</t>
        </is>
      </c>
      <c r="G81" s="295" t="inlineStr">
        <is>
          <t>박성수(2018) 2016년 기준</t>
        </is>
      </c>
      <c r="H81" s="301" t="inlineStr">
        <is>
          <t>2016</t>
        </is>
      </c>
      <c r="I81" s="302" t="n">
        <v>2238900000000</v>
      </c>
      <c r="J81" s="298">
        <f>IF(F81="연결","연결",IF(I81="","미입력",IF(F81="가정","가정",IF(OR(F81="문헌",F81="공개통계·예산서"),"대체 입력","입력됨"))))</f>
        <v/>
      </c>
      <c r="K81" s="300" t="inlineStr">
        <is>
          <t>암수 10배 조건</t>
        </is>
      </c>
    </row>
    <row r="82">
      <c r="A82" s="295" t="inlineStr">
        <is>
          <t>6-2-2</t>
        </is>
      </c>
      <c r="B82" s="295" t="inlineStr">
        <is>
          <t>6-2</t>
        </is>
      </c>
      <c r="C82" s="295" t="inlineStr">
        <is>
          <t>2016년 마약류 단속 인원</t>
        </is>
      </c>
      <c r="D82" s="295" t="inlineStr">
        <is>
          <t>명</t>
        </is>
      </c>
      <c r="E82" s="295" t="inlineStr">
        <is>
          <t>직접</t>
        </is>
      </c>
      <c r="F82" s="300" t="inlineStr">
        <is>
          <t>문헌</t>
        </is>
      </c>
      <c r="G82" s="295" t="inlineStr">
        <is>
          <t>대검찰청 백서</t>
        </is>
      </c>
      <c r="H82" s="301" t="inlineStr">
        <is>
          <t>2016</t>
        </is>
      </c>
      <c r="I82" s="302" t="n">
        <v>14214</v>
      </c>
      <c r="J82" s="298">
        <f>IF(F82="연결","연결",IF(I82="","미입력",IF(F82="가정","가정",IF(OR(F82="문헌",F82="공개통계·예산서"),"대체 입력","입력됨"))))</f>
        <v/>
      </c>
      <c r="K82" s="300" t="inlineStr"/>
    </row>
    <row r="83">
      <c r="A83" s="295" t="inlineStr">
        <is>
          <t>CB-1-1</t>
        </is>
      </c>
      <c r="B83" s="295" t="inlineStr">
        <is>
          <t>CB-1</t>
        </is>
      </c>
      <c r="C83" s="295" t="inlineStr">
        <is>
          <t>마약사범 재활 예산 총액</t>
        </is>
      </c>
      <c r="D83" s="295" t="inlineStr">
        <is>
          <t>원</t>
        </is>
      </c>
      <c r="E83" s="295" t="inlineStr">
        <is>
          <t>직접</t>
        </is>
      </c>
      <c r="F83" s="300" t="inlineStr">
        <is>
          <t>서식 회신</t>
        </is>
      </c>
      <c r="G83" s="295" t="inlineStr">
        <is>
          <t>서식6(복지과, 26.9.7) · 취합본</t>
        </is>
      </c>
      <c r="H83" s="301" t="inlineStr">
        <is>
          <t>2025</t>
        </is>
      </c>
      <c r="I83" s="302" t="n">
        <v>5999392000</v>
      </c>
      <c r="J83" s="298">
        <f>IF(F83="연결","연결",IF(I83="","미입력",IF(F83="가정","가정",IF(OR(F83="문헌",F83="공개통계·예산서"),"대체 입력","입력됨"))))</f>
        <v/>
      </c>
      <c r="K83" s="300" t="inlineStr">
        <is>
          <t>예산/집행 구분 확인 필요</t>
        </is>
      </c>
    </row>
    <row r="84">
      <c r="A84" s="295" t="inlineStr">
        <is>
          <t>CB-1-2</t>
        </is>
      </c>
      <c r="B84" s="295" t="inlineStr">
        <is>
          <t>CB-1</t>
        </is>
      </c>
      <c r="C84" s="295" t="inlineStr">
        <is>
          <t>전담인력 직접투입 인건비</t>
        </is>
      </c>
      <c r="D84" s="295" t="inlineStr">
        <is>
          <t>원</t>
        </is>
      </c>
      <c r="E84" s="295" t="inlineStr">
        <is>
          <t>직접</t>
        </is>
      </c>
      <c r="F84" s="300" t="inlineStr">
        <is>
          <t>서식 회신</t>
        </is>
      </c>
      <c r="G84" s="295" t="inlineStr">
        <is>
          <t>서식5 + 인사혁신처 2026 봉급표 환산</t>
        </is>
      </c>
      <c r="H84" s="301" t="inlineStr">
        <is>
          <t>2025</t>
        </is>
      </c>
      <c r="I84" s="302" t="n">
        <v>1697756452</v>
      </c>
      <c r="J84" s="298">
        <f>IF(F84="연결","연결",IF(I84="","미입력",IF(F84="가정","가정",IF(OR(F84="문헌",F84="공개통계·예산서"),"대체 입력","입력됨"))))</f>
        <v/>
      </c>
      <c r="K84" s="300" t="inlineStr">
        <is>
          <t>취합본 원단위계산 C37</t>
        </is>
      </c>
    </row>
    <row r="85">
      <c r="A85" s="295" t="inlineStr">
        <is>
          <t>CB-1-3</t>
        </is>
      </c>
      <c r="B85" s="295" t="inlineStr">
        <is>
          <t>CB-1</t>
        </is>
      </c>
      <c r="C85" s="295" t="inlineStr">
        <is>
          <t>이수 인시 합계</t>
        </is>
      </c>
      <c r="D85" s="295" t="inlineStr">
        <is>
          <t>인시</t>
        </is>
      </c>
      <c r="E85" s="295" t="inlineStr">
        <is>
          <t>직접</t>
        </is>
      </c>
      <c r="F85" s="300" t="inlineStr">
        <is>
          <t>서식 회신</t>
        </is>
      </c>
      <c r="G85" s="295" t="inlineStr">
        <is>
          <t>서식4 과정별 이수 × 과정시간</t>
        </is>
      </c>
      <c r="H85" s="301" t="inlineStr">
        <is>
          <t>2025</t>
        </is>
      </c>
      <c r="I85" s="302" t="n">
        <v>89960</v>
      </c>
      <c r="J85" s="298">
        <f>IF(F85="연결","연결",IF(I85="","미입력",IF(F85="가정","가정",IF(OR(F85="문헌",F85="공개통계·예산서"),"대체 입력","입력됨"))))</f>
        <v/>
      </c>
      <c r="K85" s="300" t="inlineStr"/>
    </row>
    <row r="86">
      <c r="A86" s="295" t="inlineStr">
        <is>
          <t>CB-2-1</t>
        </is>
      </c>
      <c r="B86" s="295" t="inlineStr">
        <is>
          <t>CB-2</t>
        </is>
      </c>
      <c r="C86" s="295" t="inlineStr">
        <is>
          <t>기본 과정(40시간) 이수 인원</t>
        </is>
      </c>
      <c r="D86" s="295" t="inlineStr">
        <is>
          <t>명</t>
        </is>
      </c>
      <c r="E86" s="295" t="inlineStr">
        <is>
          <t>직접</t>
        </is>
      </c>
      <c r="F86" s="300" t="inlineStr">
        <is>
          <t>서식 회신</t>
        </is>
      </c>
      <c r="G86" s="295" t="inlineStr">
        <is>
          <t>서식4(마약사범재활팀)</t>
        </is>
      </c>
      <c r="H86" s="301" t="inlineStr">
        <is>
          <t>2025</t>
        </is>
      </c>
      <c r="I86" s="302" t="n">
        <v>1246</v>
      </c>
      <c r="J86" s="298">
        <f>IF(F86="연결","연결",IF(I86="","미입력",IF(F86="가정","가정",IF(OR(F86="문헌",F86="공개통계·예산서"),"대체 입력","입력됨"))))</f>
        <v/>
      </c>
      <c r="K86" s="300" t="inlineStr"/>
    </row>
    <row r="87">
      <c r="A87" s="295" t="inlineStr">
        <is>
          <t>CB-2-2</t>
        </is>
      </c>
      <c r="B87" s="295" t="inlineStr">
        <is>
          <t>CB-2</t>
        </is>
      </c>
      <c r="C87" s="295" t="inlineStr">
        <is>
          <t>집중 과정(80시간) 이수 인원</t>
        </is>
      </c>
      <c r="D87" s="295" t="inlineStr">
        <is>
          <t>명</t>
        </is>
      </c>
      <c r="E87" s="295" t="inlineStr">
        <is>
          <t>직접</t>
        </is>
      </c>
      <c r="F87" s="300" t="inlineStr">
        <is>
          <t>서식 회신</t>
        </is>
      </c>
      <c r="G87" s="295" t="inlineStr">
        <is>
          <t>서식4</t>
        </is>
      </c>
      <c r="H87" s="301" t="inlineStr">
        <is>
          <t>2025</t>
        </is>
      </c>
      <c r="I87" s="300" t="n">
        <v>164</v>
      </c>
      <c r="J87" s="298">
        <f>IF(F87="연결","연결",IF(I87="","미입력",IF(F87="가정","가정",IF(OR(F87="문헌",F87="공개통계·예산서"),"대체 입력","입력됨"))))</f>
        <v/>
      </c>
      <c r="K87" s="300" t="inlineStr"/>
    </row>
    <row r="88">
      <c r="A88" s="295" t="inlineStr">
        <is>
          <t>CB-2-3</t>
        </is>
      </c>
      <c r="B88" s="295" t="inlineStr">
        <is>
          <t>CB-2</t>
        </is>
      </c>
      <c r="C88" s="295" t="inlineStr">
        <is>
          <t>심화 과정(120시간) 이수 인원</t>
        </is>
      </c>
      <c r="D88" s="295" t="inlineStr">
        <is>
          <t>명</t>
        </is>
      </c>
      <c r="E88" s="295" t="inlineStr">
        <is>
          <t>직접</t>
        </is>
      </c>
      <c r="F88" s="300" t="inlineStr">
        <is>
          <t>서식 회신</t>
        </is>
      </c>
      <c r="G88" s="295" t="inlineStr">
        <is>
          <t>서식4</t>
        </is>
      </c>
      <c r="H88" s="301" t="inlineStr">
        <is>
          <t>2025</t>
        </is>
      </c>
      <c r="I88" s="300" t="n">
        <v>41</v>
      </c>
      <c r="J88" s="298">
        <f>IF(F88="연결","연결",IF(I88="","미입력",IF(F88="가정","가정",IF(OR(F88="문헌",F88="공개통계·예산서"),"대체 입력","입력됨"))))</f>
        <v/>
      </c>
      <c r="K88" s="300" t="inlineStr"/>
    </row>
    <row r="89">
      <c r="A89" s="295" t="inlineStr">
        <is>
          <t>CB-2-4</t>
        </is>
      </c>
      <c r="B89" s="295" t="inlineStr">
        <is>
          <t>CB-2</t>
        </is>
      </c>
      <c r="C89" s="295" t="inlineStr">
        <is>
          <t>회복이음 과정(160시간) 이수 인원</t>
        </is>
      </c>
      <c r="D89" s="295" t="inlineStr">
        <is>
          <t>명</t>
        </is>
      </c>
      <c r="E89" s="295" t="inlineStr">
        <is>
          <t>직접</t>
        </is>
      </c>
      <c r="F89" s="300" t="inlineStr">
        <is>
          <t>서식 회신</t>
        </is>
      </c>
      <c r="G89" s="295" t="inlineStr">
        <is>
          <t>서식4</t>
        </is>
      </c>
      <c r="H89" s="301" t="inlineStr">
        <is>
          <t>2025</t>
        </is>
      </c>
      <c r="I89" s="300" t="n">
        <v>138</v>
      </c>
      <c r="J89" s="298">
        <f>IF(F89="연결","연결",IF(I89="","미입력",IF(F89="가정","가정",IF(OR(F89="문헌",F89="공개통계·예산서"),"대체 입력","입력됨"))))</f>
        <v/>
      </c>
      <c r="K89" s="300" t="inlineStr"/>
    </row>
    <row r="90">
      <c r="A90" s="295" t="inlineStr">
        <is>
          <t>CB-2-5</t>
        </is>
      </c>
      <c r="B90" s="295" t="inlineStr">
        <is>
          <t>CB-2</t>
        </is>
      </c>
      <c r="C90" s="295" t="inlineStr">
        <is>
          <t>과정별 개시·중도탈락 인원</t>
        </is>
      </c>
      <c r="D90" s="295" t="inlineStr">
        <is>
          <t>명</t>
        </is>
      </c>
      <c r="E90" s="295" t="inlineStr">
        <is>
          <t>보조</t>
        </is>
      </c>
      <c r="F90" s="300" t="inlineStr">
        <is>
          <t>서식 회신</t>
        </is>
      </c>
      <c r="G90" s="295" t="inlineStr">
        <is>
          <t>서식4(미회신)</t>
        </is>
      </c>
      <c r="H90" s="301" t="inlineStr">
        <is>
          <t>2025</t>
        </is>
      </c>
      <c r="I90" s="300" t="n"/>
      <c r="J90" s="298">
        <f>IF(F90="연결","연결",IF(I90="","미입력",IF(F90="가정","가정",IF(OR(F90="문헌",F90="공개통계·예산서"),"대체 입력","입력됨"))))</f>
        <v/>
      </c>
      <c r="K90" s="300" t="inlineStr"/>
    </row>
    <row r="91">
      <c r="A91" s="295" t="inlineStr">
        <is>
          <t>CB-3-1</t>
        </is>
      </c>
      <c r="B91" s="295" t="inlineStr">
        <is>
          <t>CB-3</t>
        </is>
      </c>
      <c r="C91" s="295" t="inlineStr">
        <is>
          <t>정신과 진료·향정 의약품비</t>
        </is>
      </c>
      <c r="D91" s="295" t="inlineStr">
        <is>
          <t>원</t>
        </is>
      </c>
      <c r="E91" s="295" t="inlineStr">
        <is>
          <t>직접</t>
        </is>
      </c>
      <c r="F91" s="300" t="inlineStr">
        <is>
          <t>서식 회신</t>
        </is>
      </c>
      <c r="G91" s="295" t="inlineStr">
        <is>
          <t>서식7 6번(미생산 회신)</t>
        </is>
      </c>
      <c r="H91" s="301" t="inlineStr">
        <is>
          <t>2025</t>
        </is>
      </c>
      <c r="I91" s="300" t="n"/>
      <c r="J91" s="298">
        <f>IF(F91="연결","연결",IF(I91="","미입력",IF(F91="가정","가정",IF(OR(F91="문헌",F91="공개통계·예산서"),"대체 입력","입력됨"))))</f>
        <v/>
      </c>
      <c r="K91" s="300" t="inlineStr"/>
    </row>
    <row r="92">
      <c r="A92" s="295" t="inlineStr">
        <is>
          <t>CB-3-2</t>
        </is>
      </c>
      <c r="B92" s="295" t="inlineStr">
        <is>
          <t>CB-3</t>
        </is>
      </c>
      <c r="C92" s="295" t="inlineStr">
        <is>
          <t>마약류사범 치료개입 대상 인원</t>
        </is>
      </c>
      <c r="D92" s="295" t="inlineStr">
        <is>
          <t>명</t>
        </is>
      </c>
      <c r="E92" s="295" t="inlineStr">
        <is>
          <t>직접</t>
        </is>
      </c>
      <c r="F92" s="300" t="inlineStr">
        <is>
          <t>서식 회신</t>
        </is>
      </c>
      <c r="G92" s="295" t="inlineStr">
        <is>
          <t>서식7 12번(미생산 회신)</t>
        </is>
      </c>
      <c r="H92" s="301" t="inlineStr">
        <is>
          <t>2025</t>
        </is>
      </c>
      <c r="I92" s="300" t="n"/>
      <c r="J92" s="298">
        <f>IF(F92="연결","연결",IF(I92="","미입력",IF(F92="가정","가정",IF(OR(F92="문헌",F92="공개통계·예산서"),"대체 입력","입력됨"))))</f>
        <v/>
      </c>
      <c r="K92" s="300" t="inlineStr"/>
    </row>
    <row r="93">
      <c r="A93" s="295" t="inlineStr">
        <is>
          <t>CB-4-1</t>
        </is>
      </c>
      <c r="B93" s="295" t="inlineStr">
        <is>
          <t>CB-4</t>
        </is>
      </c>
      <c r="C93" s="295" t="inlineStr">
        <is>
          <t>치료보호 집행액</t>
        </is>
      </c>
      <c r="D93" s="295" t="inlineStr">
        <is>
          <t>원</t>
        </is>
      </c>
      <c r="E93" s="295" t="inlineStr">
        <is>
          <t>직접</t>
        </is>
      </c>
      <c r="F93" s="300" t="inlineStr">
        <is>
          <t>연결</t>
        </is>
      </c>
      <c r="G93" s="295" t="inlineStr">
        <is>
          <t>→ 1-1b-1</t>
        </is>
      </c>
      <c r="H93" s="301" t="inlineStr"/>
      <c r="I93" s="300" t="n"/>
      <c r="J93" s="298">
        <f>IF(F93="연결","연결",IF(I93="","미입력",IF(F93="가정","가정",IF(OR(F93="문헌",F93="공개통계·예산서"),"대체 입력","입력됨"))))</f>
        <v/>
      </c>
      <c r="K93" s="300" t="inlineStr"/>
    </row>
    <row r="94">
      <c r="A94" s="295" t="inlineStr">
        <is>
          <t>CB-4-2</t>
        </is>
      </c>
      <c r="B94" s="295" t="inlineStr">
        <is>
          <t>CB-4</t>
        </is>
      </c>
      <c r="C94" s="295" t="inlineStr">
        <is>
          <t>치료보호 지원 인원</t>
        </is>
      </c>
      <c r="D94" s="295" t="inlineStr">
        <is>
          <t>명</t>
        </is>
      </c>
      <c r="E94" s="295" t="inlineStr">
        <is>
          <t>직접</t>
        </is>
      </c>
      <c r="F94" s="300" t="inlineStr">
        <is>
          <t>연결</t>
        </is>
      </c>
      <c r="G94" s="295" t="inlineStr">
        <is>
          <t>→ 1-1b-2</t>
        </is>
      </c>
      <c r="H94" s="301" t="inlineStr"/>
      <c r="I94" s="300" t="n"/>
      <c r="J94" s="298">
        <f>IF(F94="연결","연결",IF(I94="","미입력",IF(F94="가정","가정",IF(OR(F94="문헌",F94="공개통계·예산서"),"대체 입력","입력됨"))))</f>
        <v/>
      </c>
      <c r="K94" s="300" t="inlineStr"/>
    </row>
    <row r="95">
      <c r="A95" s="295" t="inlineStr">
        <is>
          <t>CB-4-3</t>
        </is>
      </c>
      <c r="B95" s="295" t="inlineStr">
        <is>
          <t>CB-4</t>
        </is>
      </c>
      <c r="C95" s="295" t="inlineStr">
        <is>
          <t>사후관리 발생 시점 t</t>
        </is>
      </c>
      <c r="D95" s="295" t="inlineStr">
        <is>
          <t>년</t>
        </is>
      </c>
      <c r="E95" s="295" t="inlineStr">
        <is>
          <t>직접</t>
        </is>
      </c>
      <c r="F95" s="300" t="inlineStr">
        <is>
          <t>가정</t>
        </is>
      </c>
      <c r="G95" s="295" t="inlineStr">
        <is>
          <t>팀 결정</t>
        </is>
      </c>
      <c r="H95" s="301" t="inlineStr"/>
      <c r="I95" s="300" t="n"/>
      <c r="J95" s="298">
        <f>IF(F95="연결","연결",IF(I95="","미입력",IF(F95="가정","가정",IF(OR(F95="문헌",F95="공개통계·예산서"),"대체 입력","입력됨"))))</f>
        <v/>
      </c>
      <c r="K95" s="300" t="inlineStr"/>
    </row>
    <row r="96">
      <c r="A96" s="295" t="inlineStr">
        <is>
          <t>CB-5-1</t>
        </is>
      </c>
      <c r="B96" s="295" t="inlineStr">
        <is>
          <t>CB-5</t>
        </is>
      </c>
      <c r="C96" s="295" t="inlineStr">
        <is>
          <t>변동원가 공공요금 비율</t>
        </is>
      </c>
      <c r="D96" s="295" t="inlineStr">
        <is>
          <t>비율</t>
        </is>
      </c>
      <c r="E96" s="295" t="inlineStr">
        <is>
          <t>직접</t>
        </is>
      </c>
      <c r="F96" s="300" t="inlineStr">
        <is>
          <t>가정</t>
        </is>
      </c>
      <c r="G96" s="295" t="inlineStr">
        <is>
          <t>취합본 원단위계산 C20</t>
        </is>
      </c>
      <c r="H96" s="301" t="inlineStr"/>
      <c r="I96" s="303" t="n">
        <v>0.5</v>
      </c>
      <c r="J96" s="298">
        <f>IF(F96="연결","연결",IF(I96="","미입력",IF(F96="가정","가정",IF(OR(F96="문헌",F96="공개통계·예산서"),"대체 입력","입력됨"))))</f>
        <v/>
      </c>
      <c r="K96" s="300" t="inlineStr"/>
    </row>
    <row r="97">
      <c r="A97" s="295" t="inlineStr">
        <is>
          <t>CB-5-2</t>
        </is>
      </c>
      <c r="B97" s="295" t="inlineStr">
        <is>
          <t>CB-5</t>
        </is>
      </c>
      <c r="C97" s="295" t="inlineStr">
        <is>
          <t>이수·미이수 수용기간 차이 ΔM</t>
        </is>
      </c>
      <c r="D97" s="295" t="inlineStr">
        <is>
          <t>일</t>
        </is>
      </c>
      <c r="E97" s="295" t="inlineStr">
        <is>
          <t>직접</t>
        </is>
      </c>
      <c r="F97" s="300" t="inlineStr">
        <is>
          <t>가정</t>
        </is>
      </c>
      <c r="G97" s="295" t="inlineStr">
        <is>
          <t>자료 없음</t>
        </is>
      </c>
      <c r="H97" s="301" t="inlineStr"/>
      <c r="I97" s="300" t="n">
        <v>0</v>
      </c>
      <c r="J97" s="298">
        <f>IF(F97="연결","연결",IF(I97="","미입력",IF(F97="가정","가정",IF(OR(F97="문헌",F97="공개통계·예산서"),"대체 입력","입력됨"))))</f>
        <v/>
      </c>
      <c r="K97" s="300" t="inlineStr"/>
    </row>
    <row r="98">
      <c r="A98" s="295" t="inlineStr">
        <is>
          <t>CB-6-1</t>
        </is>
      </c>
      <c r="B98" s="295" t="inlineStr">
        <is>
          <t>CB-6</t>
        </is>
      </c>
      <c r="C98" s="295" t="inlineStr">
        <is>
          <t>이수 집단 출소인원</t>
        </is>
      </c>
      <c r="D98" s="295" t="inlineStr">
        <is>
          <t>명</t>
        </is>
      </c>
      <c r="E98" s="295" t="inlineStr">
        <is>
          <t>직접</t>
        </is>
      </c>
      <c r="F98" s="300" t="inlineStr">
        <is>
          <t>문헌</t>
        </is>
      </c>
      <c r="G98" s="295" t="inlineStr">
        <is>
          <t>김도균·나종민(2025) 표5 · 서식9 대체</t>
        </is>
      </c>
      <c r="H98" s="301" t="inlineStr">
        <is>
          <t>2018~2019 출소</t>
        </is>
      </c>
      <c r="I98" s="300" t="n">
        <v>439</v>
      </c>
      <c r="J98" s="298">
        <f>IF(F98="연결","연결",IF(I98="","미입력",IF(F98="가정","가정",IF(OR(F98="문헌",F98="공개통계·예산서"),"대체 입력","입력됨"))))</f>
        <v/>
      </c>
      <c r="K98" s="300" t="inlineStr"/>
    </row>
    <row r="99">
      <c r="A99" s="295" t="inlineStr">
        <is>
          <t>CB-6-2</t>
        </is>
      </c>
      <c r="B99" s="295" t="inlineStr">
        <is>
          <t>CB-6</t>
        </is>
      </c>
      <c r="C99" s="295" t="inlineStr">
        <is>
          <t>이수 집단 재복역</t>
        </is>
      </c>
      <c r="D99" s="295" t="inlineStr">
        <is>
          <t>명</t>
        </is>
      </c>
      <c r="E99" s="295" t="inlineStr">
        <is>
          <t>직접</t>
        </is>
      </c>
      <c r="F99" s="300" t="inlineStr">
        <is>
          <t>문헌</t>
        </is>
      </c>
      <c r="G99" s="295" t="inlineStr">
        <is>
          <t>김도균·나종민(2025) 표5</t>
        </is>
      </c>
      <c r="H99" s="301" t="inlineStr">
        <is>
          <t>2018~2019 출소</t>
        </is>
      </c>
      <c r="I99" s="300" t="n">
        <v>178</v>
      </c>
      <c r="J99" s="298">
        <f>IF(F99="연결","연결",IF(I99="","미입력",IF(F99="가정","가정",IF(OR(F99="문헌",F99="공개통계·예산서"),"대체 입력","입력됨"))))</f>
        <v/>
      </c>
      <c r="K99" s="300" t="inlineStr">
        <is>
          <t>추적 5~6.7년</t>
        </is>
      </c>
    </row>
    <row r="100">
      <c r="A100" s="295" t="inlineStr">
        <is>
          <t>CB-6-3</t>
        </is>
      </c>
      <c r="B100" s="295" t="inlineStr">
        <is>
          <t>CB-6</t>
        </is>
      </c>
      <c r="C100" s="295" t="inlineStr">
        <is>
          <t>미이수 집단 출소인원</t>
        </is>
      </c>
      <c r="D100" s="295" t="inlineStr">
        <is>
          <t>명</t>
        </is>
      </c>
      <c r="E100" s="295" t="inlineStr">
        <is>
          <t>직접</t>
        </is>
      </c>
      <c r="F100" s="300" t="inlineStr">
        <is>
          <t>문헌</t>
        </is>
      </c>
      <c r="G100" s="295" t="inlineStr">
        <is>
          <t>김도균·나종민(2025) 표5</t>
        </is>
      </c>
      <c r="H100" s="301" t="inlineStr">
        <is>
          <t>2018~2019 출소</t>
        </is>
      </c>
      <c r="I100" s="300" t="n">
        <v>492</v>
      </c>
      <c r="J100" s="298">
        <f>IF(F100="연결","연결",IF(I100="","미입력",IF(F100="가정","가정",IF(OR(F100="문헌",F100="공개통계·예산서"),"대체 입력","입력됨"))))</f>
        <v/>
      </c>
      <c r="K100" s="300" t="inlineStr"/>
    </row>
    <row r="101">
      <c r="A101" s="295" t="inlineStr">
        <is>
          <t>CB-6-4</t>
        </is>
      </c>
      <c r="B101" s="295" t="inlineStr">
        <is>
          <t>CB-6</t>
        </is>
      </c>
      <c r="C101" s="295" t="inlineStr">
        <is>
          <t>미이수 집단 재복역</t>
        </is>
      </c>
      <c r="D101" s="295" t="inlineStr">
        <is>
          <t>명</t>
        </is>
      </c>
      <c r="E101" s="295" t="inlineStr">
        <is>
          <t>직접</t>
        </is>
      </c>
      <c r="F101" s="300" t="inlineStr">
        <is>
          <t>문헌</t>
        </is>
      </c>
      <c r="G101" s="295" t="inlineStr">
        <is>
          <t>김도균·나종민(2025) 표5</t>
        </is>
      </c>
      <c r="H101" s="301" t="inlineStr">
        <is>
          <t>2018~2019 출소</t>
        </is>
      </c>
      <c r="I101" s="300" t="n">
        <v>247</v>
      </c>
      <c r="J101" s="298">
        <f>IF(F101="연결","연결",IF(I101="","미입력",IF(F101="가정","가정",IF(OR(F101="문헌",F101="공개통계·예산서"),"대체 입력","입력됨"))))</f>
        <v/>
      </c>
      <c r="K101" s="300" t="inlineStr"/>
    </row>
    <row r="102">
      <c r="A102" s="295" t="inlineStr">
        <is>
          <t>CB-7-1</t>
        </is>
      </c>
      <c r="B102" s="295" t="inlineStr">
        <is>
          <t>CB-7</t>
        </is>
      </c>
      <c r="C102" s="295" t="inlineStr">
        <is>
          <t>3년 내 재복역 비중</t>
        </is>
      </c>
      <c r="D102" s="295" t="inlineStr">
        <is>
          <t>비율</t>
        </is>
      </c>
      <c r="E102" s="295" t="inlineStr">
        <is>
          <t>직접</t>
        </is>
      </c>
      <c r="F102" s="300" t="inlineStr">
        <is>
          <t>가정</t>
        </is>
      </c>
      <c r="G102" s="295" t="inlineStr">
        <is>
          <t>취합본 가정값</t>
        </is>
      </c>
      <c r="H102" s="301" t="inlineStr"/>
      <c r="I102" s="303" t="n">
        <v>0.796053</v>
      </c>
      <c r="J102" s="298">
        <f>IF(F102="연결","연결",IF(I102="","미입력",IF(F102="가정","가정",IF(OR(F102="문헌",F102="공개통계·예산서"),"대체 입력","입력됨"))))</f>
        <v/>
      </c>
      <c r="K102" s="300" t="inlineStr"/>
    </row>
    <row r="103">
      <c r="A103" s="295" t="inlineStr">
        <is>
          <t>CB-7-2</t>
        </is>
      </c>
      <c r="B103" s="295" t="inlineStr">
        <is>
          <t>CB-7</t>
        </is>
      </c>
      <c r="C103" s="295" t="inlineStr">
        <is>
          <t>경과기간별 재복역 비중 hₜ</t>
        </is>
      </c>
      <c r="D103" s="295" t="inlineStr">
        <is>
          <t>비율</t>
        </is>
      </c>
      <c r="E103" s="295" t="inlineStr">
        <is>
          <t>직접</t>
        </is>
      </c>
      <c r="F103" s="300" t="inlineStr">
        <is>
          <t>서식 회신</t>
        </is>
      </c>
      <c r="G103" s="295" t="inlineStr">
        <is>
          <t>서식8(미회신)</t>
        </is>
      </c>
      <c r="H103" s="301" t="inlineStr"/>
      <c r="I103" s="300" t="n"/>
      <c r="J103" s="298">
        <f>IF(F103="연결","연결",IF(I103="","미입력",IF(F103="가정","가정",IF(OR(F103="문헌",F103="공개통계·예산서"),"대체 입력","입력됨"))))</f>
        <v/>
      </c>
      <c r="K103" s="300" t="inlineStr">
        <is>
          <t>2019~2022 출소 코호트로 재요청</t>
        </is>
      </c>
    </row>
    <row r="104">
      <c r="A104" s="295" t="inlineStr">
        <is>
          <t>CB-7-3</t>
        </is>
      </c>
      <c r="B104" s="295" t="inlineStr">
        <is>
          <t>CB-7</t>
        </is>
      </c>
      <c r="C104" s="295" t="inlineStr">
        <is>
          <t>분석기간 T</t>
        </is>
      </c>
      <c r="D104" s="295" t="inlineStr">
        <is>
          <t>년</t>
        </is>
      </c>
      <c r="E104" s="295" t="inlineStr">
        <is>
          <t>직접</t>
        </is>
      </c>
      <c r="F104" s="300" t="inlineStr">
        <is>
          <t>가정</t>
        </is>
      </c>
      <c r="G104" s="295" t="inlineStr">
        <is>
          <t>인계메모 기본값</t>
        </is>
      </c>
      <c r="H104" s="301" t="inlineStr"/>
      <c r="I104" s="300" t="n">
        <v>5</v>
      </c>
      <c r="J104" s="298">
        <f>IF(F104="연결","연결",IF(I104="","미입력",IF(F104="가정","가정",IF(OR(F104="문헌",F104="공개통계·예산서"),"대체 입력","입력됨"))))</f>
        <v/>
      </c>
      <c r="K104" s="300" t="inlineStr"/>
    </row>
    <row r="105">
      <c r="A105" s="295" t="inlineStr">
        <is>
          <t>CB-8-1</t>
        </is>
      </c>
      <c r="B105" s="295" t="inlineStr">
        <is>
          <t>CB-8</t>
        </is>
      </c>
      <c r="C105" s="295" t="inlineStr">
        <is>
          <t>평균 실형 기간</t>
        </is>
      </c>
      <c r="D105" s="295" t="inlineStr">
        <is>
          <t>년</t>
        </is>
      </c>
      <c r="E105" s="295" t="inlineStr">
        <is>
          <t>직접</t>
        </is>
      </c>
      <c r="F105" s="300" t="inlineStr">
        <is>
          <t>백서</t>
        </is>
      </c>
      <c r="G105" s="295" t="inlineStr">
        <is>
          <t>백서 표 3-69 향정 실형 기간 분포에서 산출</t>
        </is>
      </c>
      <c r="H105" s="301" t="inlineStr">
        <is>
          <t>2025</t>
        </is>
      </c>
      <c r="I105" s="304" t="n">
        <v>2.448024</v>
      </c>
      <c r="J105" s="298">
        <f>IF(F105="연결","연결",IF(I105="","미입력",IF(F105="가정","가정",IF(OR(F105="문헌",F105="공개통계·예산서"),"대체 입력","입력됨"))))</f>
        <v/>
      </c>
      <c r="K105" s="300" t="inlineStr"/>
    </row>
    <row r="106">
      <c r="A106" s="295" t="inlineStr">
        <is>
          <t>CB-8-2</t>
        </is>
      </c>
      <c r="B106" s="295" t="inlineStr">
        <is>
          <t>CB-8</t>
        </is>
      </c>
      <c r="C106" s="295" t="inlineStr">
        <is>
          <t>실제 복역 비율</t>
        </is>
      </c>
      <c r="D106" s="295" t="inlineStr">
        <is>
          <t>비율</t>
        </is>
      </c>
      <c r="E106" s="295" t="inlineStr">
        <is>
          <t>직접</t>
        </is>
      </c>
      <c r="F106" s="300" t="inlineStr">
        <is>
          <t>가정</t>
        </is>
      </c>
      <c r="G106" s="295" t="inlineStr">
        <is>
          <t>취합본 가정값</t>
        </is>
      </c>
      <c r="H106" s="301" t="inlineStr"/>
      <c r="I106" s="303" t="n">
        <v>0.85</v>
      </c>
      <c r="J106" s="298">
        <f>IF(F106="연결","연결",IF(I106="","미입력",IF(F106="가정","가정",IF(OR(F106="문헌",F106="공개통계·예산서"),"대체 입력","입력됨"))))</f>
        <v/>
      </c>
      <c r="K106" s="300" t="inlineStr"/>
    </row>
    <row r="107">
      <c r="A107" s="295" t="inlineStr">
        <is>
          <t>CB-9-1</t>
        </is>
      </c>
      <c r="B107" s="295" t="inlineStr">
        <is>
          <t>CB-9</t>
        </is>
      </c>
      <c r="C107" s="295" t="inlineStr">
        <is>
          <t>재중독 기간 1인당 의료비</t>
        </is>
      </c>
      <c r="D107" s="295" t="inlineStr">
        <is>
          <t>원/인·년</t>
        </is>
      </c>
      <c r="E107" s="295" t="inlineStr">
        <is>
          <t>직접</t>
        </is>
      </c>
      <c r="F107" s="300" t="inlineStr">
        <is>
          <t>연결</t>
        </is>
      </c>
      <c r="G107" s="295" t="inlineStr">
        <is>
          <t>→ 제1절 1인당 값</t>
        </is>
      </c>
      <c r="H107" s="301" t="inlineStr"/>
      <c r="I107" s="300" t="n"/>
      <c r="J107" s="298">
        <f>IF(F107="연결","연결",IF(I107="","미입력",IF(F107="가정","가정",IF(OR(F107="문헌",F107="공개통계·예산서"),"대체 입력","입력됨"))))</f>
        <v/>
      </c>
      <c r="K107" s="300" t="inlineStr">
        <is>
          <t>신규 산정</t>
        </is>
      </c>
    </row>
    <row r="108">
      <c r="A108" s="295" t="inlineStr">
        <is>
          <t>CB-9-2</t>
        </is>
      </c>
      <c r="B108" s="295" t="inlineStr">
        <is>
          <t>CB-9</t>
        </is>
      </c>
      <c r="C108" s="295" t="inlineStr">
        <is>
          <t>재중독 기간 1인당 생산성 손실</t>
        </is>
      </c>
      <c r="D108" s="295" t="inlineStr">
        <is>
          <t>원/인·년</t>
        </is>
      </c>
      <c r="E108" s="295" t="inlineStr">
        <is>
          <t>직접</t>
        </is>
      </c>
      <c r="F108" s="300" t="inlineStr">
        <is>
          <t>연결</t>
        </is>
      </c>
      <c r="G108" s="295" t="inlineStr">
        <is>
          <t>→ 제2절 1인당 값</t>
        </is>
      </c>
      <c r="H108" s="301" t="inlineStr"/>
      <c r="I108" s="300" t="n"/>
      <c r="J108" s="298">
        <f>IF(F108="연결","연결",IF(I108="","미입력",IF(F108="가정","가정",IF(OR(F108="문헌",F108="공개통계·예산서"),"대체 입력","입력됨"))))</f>
        <v/>
      </c>
      <c r="K108" s="300" t="inlineStr">
        <is>
          <t>신규 산정</t>
        </is>
      </c>
    </row>
    <row r="109">
      <c r="A109" s="295" t="inlineStr">
        <is>
          <t>CB-9-3</t>
        </is>
      </c>
      <c r="B109" s="295" t="inlineStr">
        <is>
          <t>CB-9</t>
        </is>
      </c>
      <c r="C109" s="295" t="inlineStr">
        <is>
          <t>재범 1건당 2차 피해 귀속분</t>
        </is>
      </c>
      <c r="D109" s="295" t="inlineStr">
        <is>
          <t>원/건</t>
        </is>
      </c>
      <c r="E109" s="295" t="inlineStr">
        <is>
          <t>직접</t>
        </is>
      </c>
      <c r="F109" s="300" t="inlineStr">
        <is>
          <t>연결</t>
        </is>
      </c>
      <c r="G109" s="295" t="inlineStr">
        <is>
          <t>→ 제4절 1·2</t>
        </is>
      </c>
      <c r="H109" s="301" t="inlineStr"/>
      <c r="I109" s="300" t="n"/>
      <c r="J109" s="298">
        <f>IF(F109="연결","연결",IF(I109="","미입력",IF(F109="가정","가정",IF(OR(F109="문헌",F109="공개통계·예산서"),"대체 입력","입력됨"))))</f>
        <v/>
      </c>
      <c r="K109" s="300" t="inlineStr">
        <is>
          <t>신규 산정</t>
        </is>
      </c>
    </row>
    <row r="110">
      <c r="A110" s="295" t="inlineStr">
        <is>
          <t>CB-10-1</t>
        </is>
      </c>
      <c r="B110" s="295" t="inlineStr">
        <is>
          <t>CB-10</t>
        </is>
      </c>
      <c r="C110" s="295" t="inlineStr">
        <is>
          <t>이수·미이수 집단별 연령·형기·전과·징벌</t>
        </is>
      </c>
      <c r="D110" s="295" t="inlineStr">
        <is>
          <t>—</t>
        </is>
      </c>
      <c r="E110" s="295" t="inlineStr">
        <is>
          <t>직접</t>
        </is>
      </c>
      <c r="F110" s="300" t="inlineStr">
        <is>
          <t>서식 회신</t>
        </is>
      </c>
      <c r="G110" s="295" t="inlineStr">
        <is>
          <t>서식10(미회신)</t>
        </is>
      </c>
      <c r="H110" s="301" t="inlineStr"/>
      <c r="I110" s="300" t="n"/>
      <c r="J110" s="298">
        <f>IF(F110="연결","연결",IF(I110="","미입력",IF(F110="가정","가정",IF(OR(F110="문헌",F110="공개통계·예산서"),"대체 입력","입력됨"))))</f>
        <v/>
      </c>
      <c r="K110" s="300" t="inlineStr"/>
    </row>
    <row r="111">
      <c r="A111" s="295" t="inlineStr">
        <is>
          <t>CB-11-1</t>
        </is>
      </c>
      <c r="B111" s="295" t="inlineStr">
        <is>
          <t>CB-11</t>
        </is>
      </c>
      <c r="C111" s="295" t="inlineStr">
        <is>
          <t>과정유형별 재복역 교차표</t>
        </is>
      </c>
      <c r="D111" s="295" t="inlineStr">
        <is>
          <t>—</t>
        </is>
      </c>
      <c r="E111" s="295" t="inlineStr">
        <is>
          <t>직접</t>
        </is>
      </c>
      <c r="F111" s="300" t="inlineStr">
        <is>
          <t>서식 회신</t>
        </is>
      </c>
      <c r="G111" s="295" t="inlineStr">
        <is>
          <t>서식9(미회신)</t>
        </is>
      </c>
      <c r="H111" s="301" t="inlineStr"/>
      <c r="I111" s="300" t="n"/>
      <c r="J111" s="298">
        <f>IF(F111="연결","연결",IF(I111="","미입력",IF(F111="가정","가정",IF(OR(F111="문헌",F111="공개통계·예산서"),"대체 입력","입력됨"))))</f>
        <v/>
      </c>
      <c r="K111" s="300" t="inlineStr"/>
    </row>
    <row r="113">
      <c r="A113" s="305" t="inlineStr">
        <is>
          <t>값 단위: "원" 단위로 환산해 넣는다(천원·백만원 회신은 환산). 비율은 소수로 넣는다(4.5% → 0.045). 「연결」 행은 값 칸을 비운다.</t>
        </is>
      </c>
    </row>
  </sheetData>
  <conditionalFormatting sqref="J2:J111">
    <cfRule type="cellIs" priority="1" operator="equal" dxfId="0">
      <formula>"입력됨"</formula>
    </cfRule>
    <cfRule type="cellIs" priority="2" operator="equal" dxfId="1">
      <formula>"대체 입력"</formula>
    </cfRule>
    <cfRule type="cellIs" priority="3" operator="equal" dxfId="2">
      <formula>"가정"</formula>
    </cfRule>
    <cfRule type="cellIs" priority="4" operator="equal" dxfId="3">
      <formula>"미입력"</formula>
    </cfRule>
    <cfRule type="cellIs" priority="5" operator="equal" dxfId="6">
      <formula>"연결"</formula>
    </cfRule>
  </conditionalFormatting>
  <dataValidations count="1">
    <dataValidation sqref="F2:F111" showDropDown="0" showInputMessage="0" showErrorMessage="0" allowBlank="0" type="list">
      <formula1>"서식 회신,별도요청,백서,대검 정보공개,문헌,공개통계·예산서,설문,가정,연결"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cols>
    <col width="20" customWidth="1" style="144" min="1" max="1"/>
    <col width="16" customWidth="1" style="144" min="2" max="2"/>
    <col width="9" customWidth="1" style="144" min="3" max="3"/>
    <col width="10" customWidth="1" style="144" min="4" max="4"/>
    <col width="8" customWidth="1" style="144" min="5" max="5"/>
    <col width="8" customWidth="1" style="144" min="6" max="6"/>
    <col width="9" customWidth="1" style="144" min="7" max="7"/>
    <col width="8" customWidth="1" style="144" min="8" max="8"/>
    <col width="10" customWidth="1" style="144" min="9" max="9"/>
  </cols>
  <sheetData>
    <row r="1">
      <c r="A1" s="306" t="inlineStr">
        <is>
          <t>변수 입력 현황 (구조_변수 J열 기준, 자동 집계)</t>
        </is>
      </c>
    </row>
    <row r="3">
      <c r="A3" s="292" t="inlineStr">
        <is>
          <t>묶음</t>
        </is>
      </c>
      <c r="B3" s="292" t="inlineStr">
        <is>
          <t>칸 ID 앞자리 규칙</t>
        </is>
      </c>
      <c r="C3" s="292" t="inlineStr">
        <is>
          <t>입력됨</t>
        </is>
      </c>
      <c r="D3" s="292" t="inlineStr">
        <is>
          <t>대체 입력</t>
        </is>
      </c>
      <c r="E3" s="292" t="inlineStr">
        <is>
          <t>가정</t>
        </is>
      </c>
      <c r="F3" s="292" t="inlineStr">
        <is>
          <t>연결</t>
        </is>
      </c>
      <c r="G3" s="292" t="inlineStr">
        <is>
          <t>미입력</t>
        </is>
      </c>
      <c r="H3" s="292" t="inlineStr">
        <is>
          <t>합계</t>
        </is>
      </c>
      <c r="I3" s="292" t="inlineStr">
        <is>
          <t>입력 비율</t>
        </is>
      </c>
    </row>
    <row r="4">
      <c r="A4" s="307" t="inlineStr">
        <is>
          <t>공통</t>
        </is>
      </c>
      <c r="B4" s="307" t="inlineStr">
        <is>
          <t>공통</t>
        </is>
      </c>
      <c r="C4" s="307">
        <f>COUNTIFS(구조_변수!$B$2:$B$111,$B4,구조_변수!$J$2:$J$111,"입력됨")</f>
        <v/>
      </c>
      <c r="D4" s="307">
        <f>COUNTIFS(구조_변수!$B$2:$B$111,$B4,구조_변수!$J$2:$J$111,"대체 입력")</f>
        <v/>
      </c>
      <c r="E4" s="307">
        <f>COUNTIFS(구조_변수!$B$2:$B$111,$B4,구조_변수!$J$2:$J$111,"가정")</f>
        <v/>
      </c>
      <c r="F4" s="307">
        <f>COUNTIFS(구조_변수!$B$2:$B$111,$B4,구조_변수!$J$2:$J$111,"연결")</f>
        <v/>
      </c>
      <c r="G4" s="307">
        <f>COUNTIFS(구조_변수!$B$2:$B$111,$B4,구조_변수!$J$2:$J$111,"미입력")</f>
        <v/>
      </c>
      <c r="H4" s="307">
        <f>SUM(C4:G4)</f>
        <v/>
      </c>
      <c r="I4" s="308">
        <f>IF(H4=0,"-",(C4+D4+E4)/(H4-F4))</f>
        <v/>
      </c>
    </row>
    <row r="5">
      <c r="A5" s="307" t="inlineStr">
        <is>
          <t>제1절 의료·복지</t>
        </is>
      </c>
      <c r="B5" s="307" t="inlineStr">
        <is>
          <t>1-*</t>
        </is>
      </c>
      <c r="C5" s="307">
        <f>COUNTIFS(구조_변수!$B$2:$B$111,$B5,구조_변수!$J$2:$J$111,"입력됨")</f>
        <v/>
      </c>
      <c r="D5" s="307">
        <f>COUNTIFS(구조_변수!$B$2:$B$111,$B5,구조_변수!$J$2:$J$111,"대체 입력")</f>
        <v/>
      </c>
      <c r="E5" s="307">
        <f>COUNTIFS(구조_변수!$B$2:$B$111,$B5,구조_변수!$J$2:$J$111,"가정")</f>
        <v/>
      </c>
      <c r="F5" s="307">
        <f>COUNTIFS(구조_변수!$B$2:$B$111,$B5,구조_변수!$J$2:$J$111,"연결")</f>
        <v/>
      </c>
      <c r="G5" s="307">
        <f>COUNTIFS(구조_변수!$B$2:$B$111,$B5,구조_변수!$J$2:$J$111,"미입력")</f>
        <v/>
      </c>
      <c r="H5" s="307">
        <f>SUM(C5:G5)</f>
        <v/>
      </c>
      <c r="I5" s="308">
        <f>IF(H5=0,"-",(C5+D5+E5)/(H5-F5))</f>
        <v/>
      </c>
    </row>
    <row r="6">
      <c r="A6" s="307" t="inlineStr">
        <is>
          <t>제2절 생산성</t>
        </is>
      </c>
      <c r="B6" s="307" t="inlineStr">
        <is>
          <t>2-*</t>
        </is>
      </c>
      <c r="C6" s="307">
        <f>COUNTIFS(구조_변수!$B$2:$B$111,$B6,구조_변수!$J$2:$J$111,"입력됨")</f>
        <v/>
      </c>
      <c r="D6" s="307">
        <f>COUNTIFS(구조_변수!$B$2:$B$111,$B6,구조_변수!$J$2:$J$111,"대체 입력")</f>
        <v/>
      </c>
      <c r="E6" s="307">
        <f>COUNTIFS(구조_변수!$B$2:$B$111,$B6,구조_변수!$J$2:$J$111,"가정")</f>
        <v/>
      </c>
      <c r="F6" s="307">
        <f>COUNTIFS(구조_변수!$B$2:$B$111,$B6,구조_변수!$J$2:$J$111,"연결")</f>
        <v/>
      </c>
      <c r="G6" s="307">
        <f>COUNTIFS(구조_변수!$B$2:$B$111,$B6,구조_변수!$J$2:$J$111,"미입력")</f>
        <v/>
      </c>
      <c r="H6" s="307">
        <f>SUM(C6:G6)</f>
        <v/>
      </c>
      <c r="I6" s="308">
        <f>IF(H6=0,"-",(C6+D6+E6)/(H6-F6))</f>
        <v/>
      </c>
    </row>
    <row r="7">
      <c r="A7" s="307" t="inlineStr">
        <is>
          <t>제3절 형사사법</t>
        </is>
      </c>
      <c r="B7" s="307" t="inlineStr">
        <is>
          <t>3-*</t>
        </is>
      </c>
      <c r="C7" s="307">
        <f>COUNTIFS(구조_변수!$B$2:$B$111,$B7,구조_변수!$J$2:$J$111,"입력됨")</f>
        <v/>
      </c>
      <c r="D7" s="307">
        <f>COUNTIFS(구조_변수!$B$2:$B$111,$B7,구조_변수!$J$2:$J$111,"대체 입력")</f>
        <v/>
      </c>
      <c r="E7" s="307">
        <f>COUNTIFS(구조_변수!$B$2:$B$111,$B7,구조_변수!$J$2:$J$111,"가정")</f>
        <v/>
      </c>
      <c r="F7" s="307">
        <f>COUNTIFS(구조_변수!$B$2:$B$111,$B7,구조_변수!$J$2:$J$111,"연결")</f>
        <v/>
      </c>
      <c r="G7" s="307">
        <f>COUNTIFS(구조_변수!$B$2:$B$111,$B7,구조_변수!$J$2:$J$111,"미입력")</f>
        <v/>
      </c>
      <c r="H7" s="307">
        <f>SUM(C7:G7)</f>
        <v/>
      </c>
      <c r="I7" s="308">
        <f>IF(H7=0,"-",(C7+D7+E7)/(H7-F7))</f>
        <v/>
      </c>
    </row>
    <row r="8">
      <c r="A8" s="307" t="inlineStr">
        <is>
          <t>제4절 피해자·주위</t>
        </is>
      </c>
      <c r="B8" s="307" t="inlineStr">
        <is>
          <t>4-*</t>
        </is>
      </c>
      <c r="C8" s="307">
        <f>COUNTIFS(구조_변수!$B$2:$B$111,$B8,구조_변수!$J$2:$J$111,"입력됨")</f>
        <v/>
      </c>
      <c r="D8" s="307">
        <f>COUNTIFS(구조_변수!$B$2:$B$111,$B8,구조_변수!$J$2:$J$111,"대체 입력")</f>
        <v/>
      </c>
      <c r="E8" s="307">
        <f>COUNTIFS(구조_변수!$B$2:$B$111,$B8,구조_변수!$J$2:$J$111,"가정")</f>
        <v/>
      </c>
      <c r="F8" s="307">
        <f>COUNTIFS(구조_변수!$B$2:$B$111,$B8,구조_변수!$J$2:$J$111,"연결")</f>
        <v/>
      </c>
      <c r="G8" s="307">
        <f>COUNTIFS(구조_변수!$B$2:$B$111,$B8,구조_변수!$J$2:$J$111,"미입력")</f>
        <v/>
      </c>
      <c r="H8" s="307">
        <f>SUM(C8:G8)</f>
        <v/>
      </c>
      <c r="I8" s="308">
        <f>IF(H8=0,"-",(C8+D8+E8)/(H8-F8))</f>
        <v/>
      </c>
    </row>
    <row r="9">
      <c r="A9" s="307" t="inlineStr">
        <is>
          <t>제5절 기타</t>
        </is>
      </c>
      <c r="B9" s="307" t="inlineStr">
        <is>
          <t>5-*</t>
        </is>
      </c>
      <c r="C9" s="307">
        <f>COUNTIFS(구조_변수!$B$2:$B$111,$B9,구조_변수!$J$2:$J$111,"입력됨")</f>
        <v/>
      </c>
      <c r="D9" s="307">
        <f>COUNTIFS(구조_변수!$B$2:$B$111,$B9,구조_변수!$J$2:$J$111,"대체 입력")</f>
        <v/>
      </c>
      <c r="E9" s="307">
        <f>COUNTIFS(구조_변수!$B$2:$B$111,$B9,구조_변수!$J$2:$J$111,"가정")</f>
        <v/>
      </c>
      <c r="F9" s="307">
        <f>COUNTIFS(구조_변수!$B$2:$B$111,$B9,구조_변수!$J$2:$J$111,"연결")</f>
        <v/>
      </c>
      <c r="G9" s="307">
        <f>COUNTIFS(구조_변수!$B$2:$B$111,$B9,구조_변수!$J$2:$J$111,"미입력")</f>
        <v/>
      </c>
      <c r="H9" s="307">
        <f>SUM(C9:G9)</f>
        <v/>
      </c>
      <c r="I9" s="308">
        <f>IF(H9=0,"-",(C9+D9+E9)/(H9-F9))</f>
        <v/>
      </c>
    </row>
    <row r="10">
      <c r="A10" s="307" t="inlineStr">
        <is>
          <t>제6절 종합</t>
        </is>
      </c>
      <c r="B10" s="307" t="inlineStr">
        <is>
          <t>6-*</t>
        </is>
      </c>
      <c r="C10" s="307">
        <f>COUNTIFS(구조_변수!$B$2:$B$111,$B10,구조_변수!$J$2:$J$111,"입력됨")</f>
        <v/>
      </c>
      <c r="D10" s="307">
        <f>COUNTIFS(구조_변수!$B$2:$B$111,$B10,구조_변수!$J$2:$J$111,"대체 입력")</f>
        <v/>
      </c>
      <c r="E10" s="307">
        <f>COUNTIFS(구조_변수!$B$2:$B$111,$B10,구조_변수!$J$2:$J$111,"가정")</f>
        <v/>
      </c>
      <c r="F10" s="307">
        <f>COUNTIFS(구조_변수!$B$2:$B$111,$B10,구조_변수!$J$2:$J$111,"연결")</f>
        <v/>
      </c>
      <c r="G10" s="307">
        <f>COUNTIFS(구조_변수!$B$2:$B$111,$B10,구조_변수!$J$2:$J$111,"미입력")</f>
        <v/>
      </c>
      <c r="H10" s="307">
        <f>SUM(C10:G10)</f>
        <v/>
      </c>
      <c r="I10" s="308">
        <f>IF(H10=0,"-",(C10+D10+E10)/(H10-F10))</f>
        <v/>
      </c>
    </row>
    <row r="11">
      <c r="A11" s="307" t="inlineStr">
        <is>
          <t>비용편익</t>
        </is>
      </c>
      <c r="B11" s="307" t="inlineStr">
        <is>
          <t>CB-*</t>
        </is>
      </c>
      <c r="C11" s="307">
        <f>COUNTIFS(구조_변수!$B$2:$B$111,$B11,구조_변수!$J$2:$J$111,"입력됨")</f>
        <v/>
      </c>
      <c r="D11" s="307">
        <f>COUNTIFS(구조_변수!$B$2:$B$111,$B11,구조_변수!$J$2:$J$111,"대체 입력")</f>
        <v/>
      </c>
      <c r="E11" s="307">
        <f>COUNTIFS(구조_변수!$B$2:$B$111,$B11,구조_변수!$J$2:$J$111,"가정")</f>
        <v/>
      </c>
      <c r="F11" s="307">
        <f>COUNTIFS(구조_변수!$B$2:$B$111,$B11,구조_변수!$J$2:$J$111,"연결")</f>
        <v/>
      </c>
      <c r="G11" s="307">
        <f>COUNTIFS(구조_변수!$B$2:$B$111,$B11,구조_변수!$J$2:$J$111,"미입력")</f>
        <v/>
      </c>
      <c r="H11" s="307">
        <f>SUM(C11:G11)</f>
        <v/>
      </c>
      <c r="I11" s="308">
        <f>IF(H11=0,"-",(C11+D11+E11)/(H11-F11))</f>
        <v/>
      </c>
    </row>
    <row r="12">
      <c r="A12" s="309" t="inlineStr">
        <is>
          <t>합계</t>
        </is>
      </c>
      <c r="B12" s="307" t="n"/>
      <c r="C12" s="309">
        <f>SUM(C4:C11)</f>
        <v/>
      </c>
      <c r="D12" s="309">
        <f>SUM(D4:D11)</f>
        <v/>
      </c>
      <c r="E12" s="309">
        <f>SUM(E4:E11)</f>
        <v/>
      </c>
      <c r="F12" s="309">
        <f>SUM(F4:F11)</f>
        <v/>
      </c>
      <c r="G12" s="309">
        <f>SUM(G4:G11)</f>
        <v/>
      </c>
      <c r="H12" s="309">
        <f>SUM(H4:H11)</f>
        <v/>
      </c>
      <c r="I12" s="310">
        <f>IF(H12=0,"-",(C12+D12+E12)/(H12-F12))</f>
        <v/>
      </c>
    </row>
    <row r="14">
      <c r="A14" s="305" t="inlineStr">
        <is>
          <t>입력 비율 = (입력됨 + 대체 입력 + 가정) ÷ (합계 − 연결). 연결 행은 다른 변수에서 값을 받으므로 분모에서 뺀다.</t>
        </is>
      </c>
    </row>
    <row r="15">
      <c r="A15" s="305" t="inlineStr">
        <is>
          <t>칸 분류(A~N) 개수는 「구조_칸」 N열 참조.</t>
        </is>
      </c>
    </row>
    <row r="17">
      <c r="A17" s="311" t="inlineStr">
        <is>
          <t>칸 분류</t>
        </is>
      </c>
      <c r="B17" s="311" t="inlineStr">
        <is>
          <t>칸 수</t>
        </is>
      </c>
    </row>
    <row r="18">
      <c r="A18" s="309" t="inlineStr">
        <is>
          <t>A</t>
        </is>
      </c>
      <c r="B18" s="307">
        <f>COUNTIF(구조_칸!$N$2:$N$49,A18)</f>
        <v/>
      </c>
    </row>
    <row r="19">
      <c r="A19" s="309" t="inlineStr">
        <is>
          <t>B</t>
        </is>
      </c>
      <c r="B19" s="307">
        <f>COUNTIF(구조_칸!$N$2:$N$49,A19)</f>
        <v/>
      </c>
    </row>
    <row r="20">
      <c r="A20" s="309" t="inlineStr">
        <is>
          <t>C</t>
        </is>
      </c>
      <c r="B20" s="307">
        <f>COUNTIF(구조_칸!$N$2:$N$49,A20)</f>
        <v/>
      </c>
    </row>
    <row r="21">
      <c r="A21" s="309" t="inlineStr">
        <is>
          <t>R1</t>
        </is>
      </c>
      <c r="B21" s="307">
        <f>COUNTIF(구조_칸!$N$2:$N$49,A21)</f>
        <v/>
      </c>
    </row>
    <row r="22">
      <c r="A22" s="309" t="inlineStr">
        <is>
          <t>N</t>
        </is>
      </c>
      <c r="B22" s="307">
        <f>COUNTIF(구조_칸!$N$2:$N$49,A22)</f>
        <v/>
      </c>
    </row>
    <row r="23">
      <c r="A23" s="312" t="inlineStr">
        <is>
          <t>합계</t>
        </is>
      </c>
      <c r="B23" s="312">
        <f>SUM(B18:B22)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0" customWidth="1" style="144" min="1" max="1"/>
    <col width="40" customWidth="1" style="144" min="2" max="2"/>
    <col width="34" customWidth="1" style="144" min="3" max="3"/>
    <col width="14" customWidth="1" style="144" min="4" max="4"/>
    <col width="56" customWidth="1" style="144" min="5" max="5"/>
    <col width="22" customWidth="1" style="144" min="6" max="6"/>
  </cols>
  <sheetData>
    <row r="1">
      <c r="A1" s="311" t="inlineStr">
        <is>
          <t>스위치 ID</t>
        </is>
      </c>
      <c r="B1" s="311" t="inlineStr">
        <is>
          <t>결정 사항</t>
        </is>
      </c>
      <c r="C1" s="311" t="inlineStr">
        <is>
          <t>선택지</t>
        </is>
      </c>
      <c r="D1" s="311" t="inlineStr">
        <is>
          <t>현재 선택</t>
        </is>
      </c>
      <c r="E1" s="311" t="inlineStr">
        <is>
          <t>기본값의 근거</t>
        </is>
      </c>
      <c r="F1" s="311" t="inlineStr">
        <is>
          <t>영향 받는 칸</t>
        </is>
      </c>
    </row>
    <row r="2">
      <c r="A2" s="295" t="inlineStr">
        <is>
          <t>S1</t>
        </is>
      </c>
      <c r="B2" s="295" t="inlineStr">
        <is>
          <t>교정시설 수용자 의료비를 어느 절에 둘지</t>
        </is>
      </c>
      <c r="C2" s="295" t="inlineStr">
        <is>
          <t>제1절 1 / 제3절 3</t>
        </is>
      </c>
      <c r="D2" s="313" t="inlineStr">
        <is>
          <t>제1절 1</t>
        </is>
      </c>
      <c r="E2" s="295" t="inlineStr">
        <is>
          <t>의료비 성격이 강하고 제3절 3은 수용관리비(UC-01) 중심</t>
        </is>
      </c>
      <c r="F2" s="295" t="inlineStr">
        <is>
          <t>1-1c, 3-3a</t>
        </is>
      </c>
    </row>
    <row r="3">
      <c r="A3" s="295" t="inlineStr">
        <is>
          <t>S2</t>
        </is>
      </c>
      <c r="B3" s="295" t="inlineStr">
        <is>
          <t>국립법무병원 치료감호(2호) 비용을 어느 절에 둘지</t>
        </is>
      </c>
      <c r="C3" s="295" t="inlineStr">
        <is>
          <t>제1절 1 / 제3절 3</t>
        </is>
      </c>
      <c r="D3" s="313" t="inlineStr">
        <is>
          <t>제3절 3</t>
        </is>
      </c>
      <c r="E3" s="295" t="inlineStr">
        <is>
          <t>형 집행 처분(치료감호)으로 집행되므로</t>
        </is>
      </c>
      <c r="F3" s="295" t="inlineStr">
        <is>
          <t>3-3c</t>
        </is>
      </c>
    </row>
    <row r="4">
      <c r="A4" s="295" t="inlineStr">
        <is>
          <t>S3</t>
        </is>
      </c>
      <c r="B4" s="295" t="inlineStr">
        <is>
          <t>중독자 본인 고통(PGS)을 넣을지</t>
        </is>
      </c>
      <c r="C4" s="295" t="inlineStr">
        <is>
          <t>포함 / 제외 / 결정 대기</t>
        </is>
      </c>
      <c r="D4" s="313" t="inlineStr">
        <is>
          <t>결정 대기</t>
        </is>
      </c>
      <c r="E4" s="295" t="inlineStr">
        <is>
          <t>N*(66만 명)에 곱하면 과대. 적용 인원(의존 상태) 결정 필요</t>
        </is>
      </c>
      <c r="F4" s="295" t="inlineStr">
        <is>
          <t>4-2b</t>
        </is>
      </c>
    </row>
    <row r="5">
      <c r="A5" s="295" t="inlineStr">
        <is>
          <t>S4</t>
        </is>
      </c>
      <c r="B5" s="295" t="inlineStr">
        <is>
          <t>제2절 3 노동력 상실의 하위 구성</t>
        </is>
      </c>
      <c r="C5" s="295" t="inlineStr">
        <is>
          <t>4분할 / 2분할</t>
        </is>
      </c>
      <c r="D5" s="313" t="inlineStr">
        <is>
          <t>4분할</t>
        </is>
      </c>
      <c r="E5" s="295" t="inlineStr">
        <is>
          <t>구금·의존 미취업·PV_a·코호트를 나누어야 중복과 연간/생애 구분이 보임</t>
        </is>
      </c>
      <c r="F5" s="295" t="inlineStr">
        <is>
          <t>2-3a, 2-3b, 2-3c, 2-3d</t>
        </is>
      </c>
    </row>
    <row r="6">
      <c r="A6" s="295" t="inlineStr">
        <is>
          <t>S5</t>
        </is>
      </c>
      <c r="B6" s="295" t="inlineStr">
        <is>
          <t>범죄 공포·방어행동을 산출할지</t>
        </is>
      </c>
      <c r="C6" s="295" t="inlineStr">
        <is>
          <t>산출 / 정성 기술 / 결정 대기</t>
        </is>
      </c>
      <c r="D6" s="313" t="inlineStr">
        <is>
          <t>결정 대기</t>
        </is>
      </c>
      <c r="E6" s="295" t="inlineStr">
        <is>
          <t>CVM 설문 실시 여부에 달림</t>
        </is>
      </c>
      <c r="F6" s="295" t="inlineStr">
        <is>
          <t>5-2a, 5-2b</t>
        </is>
      </c>
    </row>
    <row r="7">
      <c r="A7" s="295" t="inlineStr">
        <is>
          <t>S6</t>
        </is>
      </c>
      <c r="B7" s="295" t="inlineStr">
        <is>
          <t>의료비 암수 보정 방식</t>
        </is>
      </c>
      <c r="C7" s="295" t="inlineStr">
        <is>
          <t>보정 없음 / 잠재 치료비 별도 / 결정 대기</t>
        </is>
      </c>
      <c r="D7" s="313" t="inlineStr">
        <is>
          <t>결정 대기</t>
        </is>
      </c>
      <c r="E7" s="295" t="inlineStr">
        <is>
          <t>N*/N진료를 곱하면 미치료자 진료비까지 계상됨(명세 공통 원칙 4)</t>
        </is>
      </c>
      <c r="F7" s="295" t="inlineStr">
        <is>
          <t>1-1a, 1-2, 2-2</t>
        </is>
      </c>
    </row>
    <row r="8">
      <c r="A8" s="295" t="inlineStr">
        <is>
          <t>S7</t>
        </is>
      </c>
      <c r="B8" s="295" t="inlineStr">
        <is>
          <t>형사사법 비용의 비용 종류</t>
        </is>
      </c>
      <c r="C8" s="295" t="inlineStr">
        <is>
          <t>IC / DC</t>
        </is>
      </c>
      <c r="D8" s="313" t="inlineStr">
        <is>
          <t>IC</t>
        </is>
      </c>
      <c r="E8" s="295" t="inlineStr">
        <is>
          <t>1단계 설계(제안서 그림 1) 기준. DC로 보는 연구도 있어 근거 명시 필요</t>
        </is>
      </c>
      <c r="F8" s="295" t="inlineStr">
        <is>
          <t>3-1a~3-3c</t>
        </is>
      </c>
    </row>
  </sheetData>
  <dataValidations count="7">
    <dataValidation sqref="D2" showDropDown="0" showInputMessage="0" showErrorMessage="0" allowBlank="0" type="list">
      <formula1>"제1절 1,제3절 3"</formula1>
    </dataValidation>
    <dataValidation sqref="D3" showDropDown="0" showInputMessage="0" showErrorMessage="0" allowBlank="0" type="list">
      <formula1>"제1절 1,제3절 3"</formula1>
    </dataValidation>
    <dataValidation sqref="D4" showDropDown="0" showInputMessage="0" showErrorMessage="0" allowBlank="0" type="list">
      <formula1>"포함,제외,결정 대기"</formula1>
    </dataValidation>
    <dataValidation sqref="D5" showDropDown="0" showInputMessage="0" showErrorMessage="0" allowBlank="0" type="list">
      <formula1>"4분할,2분할"</formula1>
    </dataValidation>
    <dataValidation sqref="D6" showDropDown="0" showInputMessage="0" showErrorMessage="0" allowBlank="0" type="list">
      <formula1>"산출,정성 기술,결정 대기"</formula1>
    </dataValidation>
    <dataValidation sqref="D7" showDropDown="0" showInputMessage="0" showErrorMessage="0" allowBlank="0" type="list">
      <formula1>"보정 없음,잠재 치료비 별도,결정 대기"</formula1>
    </dataValidation>
    <dataValidation sqref="D8" showDropDown="0" showInputMessage="0" showErrorMessage="0" allowBlank="0" type="list">
      <formula1>"IC,DC"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style="144" min="1" max="1"/>
    <col width="10" customWidth="1" style="144" min="2" max="2"/>
    <col width="12" customWidth="1" style="144" min="3" max="3"/>
    <col width="40" customWidth="1" style="144" min="4" max="4"/>
    <col width="50" customWidth="1" style="144" min="5" max="5"/>
  </cols>
  <sheetData>
    <row r="1">
      <c r="A1" s="311" t="inlineStr">
        <is>
          <t>규칙</t>
        </is>
      </c>
      <c r="B1" s="311" t="inlineStr">
        <is>
          <t>칸 A</t>
        </is>
      </c>
      <c r="C1" s="311" t="inlineStr">
        <is>
          <t>칸 B</t>
        </is>
      </c>
      <c r="D1" s="311" t="inlineStr">
        <is>
          <t>넣는 곳</t>
        </is>
      </c>
      <c r="E1" s="311" t="inlineStr">
        <is>
          <t>근거</t>
        </is>
      </c>
    </row>
    <row r="2">
      <c r="A2" s="295" t="inlineStr">
        <is>
          <t>치료보호 국고지원 ↔ 건강보험 진료비</t>
        </is>
      </c>
      <c r="B2" s="295" t="inlineStr">
        <is>
          <t>1-1b</t>
        </is>
      </c>
      <c r="C2" s="295" t="inlineStr">
        <is>
          <t>1-1a</t>
        </is>
      </c>
      <c r="D2" s="295" t="inlineStr">
        <is>
          <t>한쪽만(2024. 7. 이후 건강보험 진료분은 1-1a)</t>
        </is>
      </c>
      <c r="E2" s="295" t="inlineStr">
        <is>
          <t>2024년 7월 건강보험 적용 이후 같은 진료가 양쪽에 잡힘</t>
        </is>
      </c>
    </row>
    <row r="3">
      <c r="A3" s="295" t="inlineStr">
        <is>
          <t>치료감호 비용 위치</t>
        </is>
      </c>
      <c r="B3" s="295" t="inlineStr">
        <is>
          <t>3-3c</t>
        </is>
      </c>
      <c r="C3" s="295" t="inlineStr">
        <is>
          <t>1-1</t>
        </is>
      </c>
      <c r="D3" s="296">
        <f>구조_스위치!$D$3</f>
        <v/>
      </c>
      <c r="E3" s="295" t="inlineStr">
        <is>
          <t>제1절과 제3절 3 중 한 곳</t>
        </is>
      </c>
    </row>
    <row r="4">
      <c r="A4" s="295" t="inlineStr">
        <is>
          <t>수용자 의료비 위치</t>
        </is>
      </c>
      <c r="B4" s="295" t="inlineStr">
        <is>
          <t>1-1c</t>
        </is>
      </c>
      <c r="C4" s="295" t="inlineStr">
        <is>
          <t>3-3a</t>
        </is>
      </c>
      <c r="D4" s="296">
        <f>구조_스위치!$D$2</f>
        <v/>
      </c>
      <c r="E4" s="295" t="inlineStr">
        <is>
          <t>제1절과 제3절 3 중 한 곳. UC-01에 의료비가 들어 있으면 1-1c에서 빼야 함</t>
        </is>
      </c>
    </row>
    <row r="5">
      <c r="A5" s="295" t="inlineStr">
        <is>
          <t>구금 기간 생산성 ↔ 미취업 생산성</t>
        </is>
      </c>
      <c r="B5" s="295" t="inlineStr">
        <is>
          <t>2-3a</t>
        </is>
      </c>
      <c r="C5" s="295" t="inlineStr">
        <is>
          <t>2-3b</t>
        </is>
      </c>
      <c r="D5" s="295" t="inlineStr">
        <is>
          <t>같은 기간을 두 번 세지 않음</t>
        </is>
      </c>
      <c r="E5" s="295" t="inlineStr">
        <is>
          <t>명세 공통 원칙 5</t>
        </is>
      </c>
    </row>
    <row r="6">
      <c r="A6" s="295" t="inlineStr">
        <is>
          <t>불특정 다수 피해 ↔ 사회혼란</t>
        </is>
      </c>
      <c r="B6" s="295" t="inlineStr">
        <is>
          <t>4-1</t>
        </is>
      </c>
      <c r="C6" s="295" t="inlineStr">
        <is>
          <t>5-2a·5-2b</t>
        </is>
      </c>
      <c r="D6" s="295" t="inlineStr">
        <is>
          <t>피해는 4-1, 공포·방어만 5-2</t>
        </is>
      </c>
      <c r="E6" s="295" t="inlineStr">
        <is>
          <t>명세 제5절 정리</t>
        </is>
      </c>
    </row>
    <row r="7">
      <c r="A7" s="295" t="inlineStr">
        <is>
          <t>센터·마퇴본부 사업비</t>
        </is>
      </c>
      <c r="B7" s="295" t="inlineStr">
        <is>
          <t>1-3</t>
        </is>
      </c>
      <c r="C7" s="295" t="inlineStr">
        <is>
          <t>5-1</t>
        </is>
      </c>
      <c r="D7" s="295" t="inlineStr">
        <is>
          <t>재활 운영비는 1-3, 예방·홍보비는 5-1</t>
        </is>
      </c>
      <c r="E7" s="295" t="inlineStr">
        <is>
          <t>명세 공통 원칙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2026-09-04T01:51:11Z</dcterms:created>
  <dcterms:modified xmlns:dcterms="http://purl.org/dc/terms/" xmlns:xsi="http://www.w3.org/2001/XMLSchema-instance" xsi:type="dcterms:W3CDTF">2026-10-21T12:03:50Z</dcterms:modified>
  <cp:lastModifiedBy>이213</cp:lastModifiedBy>
  <cp:revision>0</cp:revision>
</cp:coreProperties>
</file>